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medical-quotation-app\"/>
    </mc:Choice>
  </mc:AlternateContent>
  <xr:revisionPtr revIDLastSave="0" documentId="8_{7A0E4751-83F7-4FDD-A100-7DB681A8F32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IMAS CT ADB &amp; P WITH" sheetId="11" r:id="rId1"/>
    <sheet name="CT CAP W USD TARRIFS" sheetId="1" r:id="rId2"/>
    <sheet name="ZiG TARRIFS" sheetId="2" r:id="rId3"/>
    <sheet name="ZiG" sheetId="3" r:id="rId4"/>
    <sheet name="USD NOSTRO" sheetId="5" r:id="rId5"/>
    <sheet name="invoice" sheetId="10" r:id="rId6"/>
    <sheet name="FNB ACCOUNT" sheetId="8" r:id="rId7"/>
    <sheet name="WOMANS IMAGING" sheetId="7" r:id="rId8"/>
    <sheet name="BARCLAYS" sheetId="6" r:id="rId9"/>
    <sheet name="Sheet1" sheetId="9" r:id="rId10"/>
  </sheets>
  <definedNames>
    <definedName name="_xlnm.Print_Area" localSheetId="0">'CIMAS CT ADB &amp; P WITH'!$A$1:$H$50</definedName>
    <definedName name="_xlnm.Print_Area" localSheetId="1">'CT CAP W USD TARRIFS'!$A$1:$H$50</definedName>
    <definedName name="_xlnm.Print_Area" localSheetId="4">'USD NOSTRO'!$A$1:$G$50</definedName>
    <definedName name="_xlnm.Print_Area" localSheetId="2">'ZiG TARRIFS'!$A$1:$G$64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56" i="2"/>
  <c r="G7" i="11"/>
  <c r="G7" i="5"/>
  <c r="G22" i="11" l="1"/>
  <c r="G41" i="11" s="1"/>
  <c r="G43" i="11" s="1"/>
  <c r="G22" i="2"/>
  <c r="G7" i="2" l="1"/>
  <c r="G7" i="1" l="1"/>
  <c r="G22" i="7" l="1"/>
  <c r="F22" i="3" l="1"/>
  <c r="G22" i="3" s="1"/>
  <c r="G39" i="7" l="1"/>
  <c r="F22" i="10" l="1"/>
  <c r="F37" i="10" s="1"/>
  <c r="F39" i="10" l="1"/>
  <c r="G39" i="3" l="1"/>
  <c r="G54" i="2" l="1"/>
  <c r="G36" i="5" l="1"/>
  <c r="G41" i="1" l="1"/>
  <c r="F22" i="8" l="1"/>
  <c r="G22" i="8" s="1"/>
  <c r="G38" i="8" s="1"/>
  <c r="G40" i="8" s="1"/>
  <c r="E23" i="8"/>
  <c r="E24" i="8"/>
  <c r="E25" i="8"/>
  <c r="E22" i="8"/>
  <c r="G22" i="6" l="1"/>
  <c r="G38" i="6" s="1"/>
  <c r="G40" i="6" s="1"/>
  <c r="D22" i="6"/>
  <c r="G38" i="5"/>
  <c r="G41" i="3" l="1"/>
  <c r="G43" i="1" l="1"/>
  <c r="G41" i="7" l="1"/>
</calcChain>
</file>

<file path=xl/sharedStrings.xml><?xml version="1.0" encoding="utf-8"?>
<sst xmlns="http://schemas.openxmlformats.org/spreadsheetml/2006/main" count="328" uniqueCount="122">
  <si>
    <t>PROFORMA</t>
  </si>
  <si>
    <t>INVOICE</t>
  </si>
  <si>
    <t>Pro Forma Invoice</t>
  </si>
  <si>
    <t>DATE</t>
  </si>
  <si>
    <t>TERMS</t>
  </si>
  <si>
    <t>MEDICAL EXAMINATIONS</t>
  </si>
  <si>
    <t>DESCRIPTION</t>
  </si>
  <si>
    <t>QTY</t>
  </si>
  <si>
    <t>AMOUNT</t>
  </si>
  <si>
    <t>SUBTOTAL</t>
  </si>
  <si>
    <t>Total</t>
  </si>
  <si>
    <t>VAT NUMBER : 1000019</t>
  </si>
  <si>
    <t>TARRIF</t>
  </si>
  <si>
    <t>MOD</t>
  </si>
  <si>
    <t xml:space="preserve">MEDICAL EXAMINATIONS </t>
  </si>
  <si>
    <t>CASH/TRANSFER</t>
  </si>
  <si>
    <t>TRANSFER</t>
  </si>
  <si>
    <t>MIC BP NUMBER</t>
  </si>
  <si>
    <t>FEES</t>
  </si>
  <si>
    <t>VALIDITY</t>
  </si>
  <si>
    <t>Account Name</t>
  </si>
  <si>
    <t>ADIANTAR MEDICAL IMAGING T/A MEDICAL IMAGING CENTRE</t>
  </si>
  <si>
    <t>Bank</t>
  </si>
  <si>
    <t>STANBIC</t>
  </si>
  <si>
    <t>Account Number</t>
  </si>
  <si>
    <t>914 0000040028</t>
  </si>
  <si>
    <t>Branch Code</t>
  </si>
  <si>
    <t>Branch Name</t>
  </si>
  <si>
    <t>BELGRAVIA</t>
  </si>
  <si>
    <t>Swift Code</t>
  </si>
  <si>
    <t>SBICZWHX</t>
  </si>
  <si>
    <t>VENDOR NUMBER</t>
  </si>
  <si>
    <t>24HRS</t>
  </si>
  <si>
    <t>ECOCASH : 33670</t>
  </si>
  <si>
    <t>USD</t>
  </si>
  <si>
    <t>HRS</t>
  </si>
  <si>
    <t>TOTAL</t>
  </si>
  <si>
    <t>914 0000882428</t>
  </si>
  <si>
    <t>STANBIC NOSTRO  FCA</t>
  </si>
  <si>
    <t>UNIT USD</t>
  </si>
  <si>
    <t>ATT : PAMELA STUMBLE</t>
  </si>
  <si>
    <t>DR GODFREY TICHAONA CHATORA</t>
  </si>
  <si>
    <t>BARCLAYS BANK UK</t>
  </si>
  <si>
    <t>Branch Sort Code</t>
  </si>
  <si>
    <t>20-99-21</t>
  </si>
  <si>
    <t>BARC GB22</t>
  </si>
  <si>
    <t>IBAN</t>
  </si>
  <si>
    <t>GB03 BARC 209921 60321745</t>
  </si>
  <si>
    <t>Address</t>
  </si>
  <si>
    <t>30 WHITE ROSE AVENUE</t>
  </si>
  <si>
    <t>BERRY HILL PARK</t>
  </si>
  <si>
    <t>MANSFIELD</t>
  </si>
  <si>
    <t>NOTTINGHAMSHIRE</t>
  </si>
  <si>
    <t>NG184YF</t>
  </si>
  <si>
    <t>THEATRE SCREENING LUMBAR SPINE DECOMPRESSION 1 HR 30MINS</t>
  </si>
  <si>
    <t>30.03.2022</t>
  </si>
  <si>
    <t>TOTAL POUNDS</t>
  </si>
  <si>
    <t>AMOUNT GBP</t>
  </si>
  <si>
    <t>USD AMOUNT</t>
  </si>
  <si>
    <t>1</t>
  </si>
  <si>
    <t>DR MAITAZVENYU MVERE</t>
  </si>
  <si>
    <t>914 0006214982</t>
  </si>
  <si>
    <t>MINERVA</t>
  </si>
  <si>
    <t>31.01.2023</t>
  </si>
  <si>
    <t>25.01.2023</t>
  </si>
  <si>
    <t>XRAY ABDOMEN</t>
  </si>
  <si>
    <t>XRAY LUMBOSACRAL SPINE</t>
  </si>
  <si>
    <t>USS ABDOMEN AND PELVIS</t>
  </si>
  <si>
    <t>USS DOPPLER ABDOMINAL AORTA</t>
  </si>
  <si>
    <t>ATT: MARY TORT (CIMAS PVT)</t>
  </si>
  <si>
    <t>ADIANTAR MEDICAL (PVT) LTD</t>
  </si>
  <si>
    <t>FNB BUSINESS ACCOUNT</t>
  </si>
  <si>
    <t>62792107445</t>
  </si>
  <si>
    <t>FIRNZAJJ</t>
  </si>
  <si>
    <t>SANDTON CITY, TVL132</t>
  </si>
  <si>
    <t xml:space="preserve"> </t>
  </si>
  <si>
    <t>RAND AMOUNT</t>
  </si>
  <si>
    <t>UNIT RAND</t>
  </si>
  <si>
    <t>MEDICAL EXAMINATION</t>
  </si>
  <si>
    <t>TO BE BOOKED AND TO PROVIDE PROOF OF PAYMENT</t>
  </si>
  <si>
    <t>TO BE BOOKED AND PROVIDE POP</t>
  </si>
  <si>
    <t>MRI, CT AND USS TO BE BOOKED</t>
  </si>
  <si>
    <t>16.02.24</t>
  </si>
  <si>
    <t>76291</t>
  </si>
  <si>
    <t>MRI CERVICAL AND THORACIC SPINE NON CONTRAST</t>
  </si>
  <si>
    <t>77517</t>
  </si>
  <si>
    <t>77515</t>
  </si>
  <si>
    <t>76293</t>
  </si>
  <si>
    <t>CT WHOLE SPINE</t>
  </si>
  <si>
    <t>77034</t>
  </si>
  <si>
    <t>ATT:  JACQUELINE JOLLIFE</t>
  </si>
  <si>
    <t xml:space="preserve">                    </t>
  </si>
  <si>
    <t>UNIT ZiG</t>
  </si>
  <si>
    <t xml:space="preserve">          </t>
  </si>
  <si>
    <t>Proforma Invoice</t>
  </si>
  <si>
    <t>4</t>
  </si>
  <si>
    <t>MRI, CT &amp;USS   TO BE BOOKED</t>
  </si>
  <si>
    <t>03.07.24</t>
  </si>
  <si>
    <t>ATT: FAITH ZABA</t>
  </si>
  <si>
    <t xml:space="preserve">3D Mammography – 2 breasts </t>
  </si>
  <si>
    <t>TO PROVIDE PROOF OF PAYMENT</t>
  </si>
  <si>
    <t>UNIT</t>
  </si>
  <si>
    <t>TARIFF</t>
  </si>
  <si>
    <t xml:space="preserve">   </t>
  </si>
  <si>
    <t>CT BRAIN NON-CONTRAST</t>
  </si>
  <si>
    <t>ATT: CHENGETAI MUTSVAIRO</t>
  </si>
  <si>
    <t>01.11.2024</t>
  </si>
  <si>
    <t>MRI RGHT KNEE</t>
  </si>
  <si>
    <t xml:space="preserve">ATT: </t>
  </si>
  <si>
    <t>ATT: CIMAS</t>
  </si>
  <si>
    <t>24 HOURS</t>
  </si>
  <si>
    <t>AFHOZ: 280028</t>
  </si>
  <si>
    <t>FOR PATIENT: Taylor Kanyayi</t>
  </si>
  <si>
    <t>MRI - Brain With Contrast</t>
  </si>
  <si>
    <t xml:space="preserve">MEMBER NUMBER:12061822-00 </t>
  </si>
  <si>
    <t>ZWG</t>
  </si>
  <si>
    <t>CT - Chest, Abdomen and Pelvis With Contrast</t>
  </si>
  <si>
    <t>AFHOZ: 280011</t>
  </si>
  <si>
    <t>FOR PATIENT: Heather Baker</t>
  </si>
  <si>
    <t>MEMBER NUMBER: 12373148-04</t>
  </si>
  <si>
    <t>FOR PATIENT:</t>
  </si>
  <si>
    <t xml:space="preserve">MEMBER NUMBER: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</si>
</sst>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US$&quot;* #,##0.00_-;\-&quot;US$&quot;* #,##0.00_-;_-&quot;US$&quot;* &quot;-&quot;??_-;_-@_-"/>
    <numFmt numFmtId="165" formatCode="_(* #,##0.00_);_(* \(#,##0.00\);_(* &quot;-&quot;??_);_(@_)"/>
    <numFmt numFmtId="166" formatCode="_ * #,##0.00_ ;_ * \-#,##0.00_ ;_ * &quot;-&quot;??_ ;_ @_ "/>
    <numFmt numFmtId="167" formatCode="_([$$-409]* #,##0.00_);_([$$-409]* \(#,##0.00\);_([$$-409]* &quot;-&quot;??_);_(@_)"/>
    <numFmt numFmtId="168" formatCode="[$GBP]\ #,##0.00"/>
    <numFmt numFmtId="169" formatCode="_-&quot;$&quot;* #,##0.00_-;\-&quot;$&quot;* #,##0.00_-;_-&quot;$&quot;* &quot;-&quot;??_-;_-@_-"/>
    <numFmt numFmtId="170" formatCode="_-[$$-409]* #,##0.00_ ;_-[$$-409]* \-#,##0.00\ ;_-[$$-409]* &quot;-&quot;??_ ;_-@_ "/>
  </numFmts>
  <fonts count="57" x14ac:knownFonts="1">
    <font>
      <sz val="11"/>
      <color theme="1"/>
      <name val="Calibri"/>
      <family val="2"/>
      <scheme val="minor"/>
    </font>
    <font>
      <sz val="16"/>
      <name val="Cambria"/>
      <family val="2"/>
      <scheme val="major"/>
    </font>
    <font>
      <sz val="16"/>
      <name val="Trebuchet MS"/>
      <family val="2"/>
    </font>
    <font>
      <b/>
      <sz val="28"/>
      <color indexed="52"/>
      <name val="Trebuchet MS"/>
      <family val="2"/>
    </font>
    <font>
      <sz val="10"/>
      <name val="Calibri"/>
      <family val="2"/>
      <scheme val="minor"/>
    </font>
    <font>
      <b/>
      <sz val="28"/>
      <color theme="4" tint="0.39997558519241921"/>
      <name val="Cambria"/>
      <family val="2"/>
      <scheme val="major"/>
    </font>
    <font>
      <b/>
      <sz val="9"/>
      <name val="Cambria"/>
      <family val="2"/>
      <scheme val="major"/>
    </font>
    <font>
      <sz val="9"/>
      <name val="Calibri"/>
      <family val="2"/>
      <scheme val="minor"/>
    </font>
    <font>
      <sz val="10"/>
      <name val="Cambria"/>
      <family val="2"/>
      <scheme val="major"/>
    </font>
    <font>
      <sz val="9"/>
      <name val="Cambria"/>
      <family val="2"/>
      <scheme val="maj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mbria"/>
      <family val="2"/>
      <scheme val="major"/>
    </font>
    <font>
      <b/>
      <sz val="10"/>
      <name val="Cambria"/>
      <family val="1"/>
      <scheme val="major"/>
    </font>
    <font>
      <sz val="11"/>
      <name val="Calibri"/>
      <family val="2"/>
      <scheme val="minor"/>
    </font>
    <font>
      <sz val="11"/>
      <name val="Cambria"/>
      <family val="2"/>
      <scheme val="major"/>
    </font>
    <font>
      <sz val="11"/>
      <name val="Arial"/>
      <family val="2"/>
    </font>
    <font>
      <b/>
      <sz val="11"/>
      <name val="Cambria"/>
      <family val="1"/>
      <scheme val="major"/>
    </font>
    <font>
      <sz val="10"/>
      <name val="Arial"/>
      <family val="2"/>
    </font>
    <font>
      <b/>
      <sz val="10"/>
      <name val="Cambria"/>
      <family val="2"/>
      <scheme val="maj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4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0"/>
      <name val="Arial"/>
      <family val="2"/>
    </font>
    <font>
      <sz val="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92D050"/>
      </patternFill>
    </fill>
  </fills>
  <borders count="3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165" fontId="18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4" borderId="19" applyNumberFormat="0" applyFont="0" applyAlignment="0" applyProtection="0"/>
    <xf numFmtId="0" fontId="24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4" fillId="0" borderId="0"/>
    <xf numFmtId="9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24" fillId="0" borderId="0"/>
    <xf numFmtId="0" fontId="18" fillId="0" borderId="0"/>
    <xf numFmtId="0" fontId="2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4" fillId="0" borderId="0"/>
    <xf numFmtId="43" fontId="18" fillId="0" borderId="0" applyFont="0" applyFill="0" applyBorder="0" applyAlignment="0" applyProtection="0"/>
    <xf numFmtId="0" fontId="24" fillId="0" borderId="0"/>
    <xf numFmtId="0" fontId="37" fillId="0" borderId="0"/>
    <xf numFmtId="43" fontId="24" fillId="0" borderId="0" applyFont="0" applyFill="0" applyBorder="0" applyAlignment="0" applyProtection="0"/>
    <xf numFmtId="0" fontId="40" fillId="0" borderId="0"/>
    <xf numFmtId="43" fontId="24" fillId="0" borderId="0" applyFont="0" applyFill="0" applyBorder="0" applyAlignment="0" applyProtection="0"/>
    <xf numFmtId="0" fontId="41" fillId="0" borderId="0"/>
    <xf numFmtId="0" fontId="42" fillId="0" borderId="0" applyNumberFormat="0" applyFill="0" applyBorder="0" applyAlignment="0" applyProtection="0"/>
    <xf numFmtId="3" fontId="45" fillId="0" borderId="0"/>
    <xf numFmtId="0" fontId="50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24" fillId="0" borderId="0" applyFont="0" applyFill="0" applyBorder="0" applyAlignment="0" applyProtection="0"/>
  </cellStyleXfs>
  <cellXfs count="359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 vertical="center"/>
    </xf>
    <xf numFmtId="0" fontId="4" fillId="0" borderId="0" xfId="0" applyFont="1" applyAlignment="1" applyProtection="1">
      <alignment vertical="top"/>
      <protection locked="0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13" fillId="0" borderId="0" xfId="0" applyFont="1" applyAlignment="1">
      <alignment vertical="center"/>
    </xf>
    <xf numFmtId="1" fontId="4" fillId="0" borderId="0" xfId="0" applyNumberFormat="1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8" fillId="0" borderId="7" xfId="0" applyFont="1" applyBorder="1"/>
    <xf numFmtId="49" fontId="18" fillId="0" borderId="7" xfId="0" applyNumberFormat="1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4" fontId="17" fillId="0" borderId="7" xfId="0" applyNumberFormat="1" applyFont="1" applyBorder="1"/>
    <xf numFmtId="165" fontId="4" fillId="0" borderId="7" xfId="0" applyNumberFormat="1" applyFont="1" applyBorder="1" applyAlignment="1" applyProtection="1">
      <alignment vertical="center"/>
      <protection locked="0"/>
    </xf>
    <xf numFmtId="49" fontId="0" fillId="0" borderId="7" xfId="0" applyNumberFormat="1" applyBorder="1" applyAlignment="1">
      <alignment horizontal="center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vertical="center"/>
      <protection locked="0"/>
    </xf>
    <xf numFmtId="166" fontId="21" fillId="0" borderId="7" xfId="0" applyNumberFormat="1" applyFont="1" applyBorder="1"/>
    <xf numFmtId="166" fontId="22" fillId="0" borderId="7" xfId="0" applyNumberFormat="1" applyFont="1" applyBorder="1"/>
    <xf numFmtId="165" fontId="21" fillId="0" borderId="7" xfId="1" applyFont="1" applyFill="1" applyBorder="1" applyAlignment="1">
      <alignment horizontal="right"/>
    </xf>
    <xf numFmtId="165" fontId="22" fillId="0" borderId="7" xfId="1" applyFont="1" applyFill="1" applyBorder="1" applyAlignment="1">
      <alignment horizontal="right"/>
    </xf>
    <xf numFmtId="0" fontId="13" fillId="0" borderId="7" xfId="0" applyFont="1" applyBorder="1" applyAlignment="1" applyProtection="1">
      <alignment vertical="center"/>
      <protection locked="0"/>
    </xf>
    <xf numFmtId="0" fontId="16" fillId="0" borderId="0" xfId="0" applyFont="1"/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5" fillId="0" borderId="0" xfId="0" applyFont="1" applyAlignment="1">
      <alignment vertical="center"/>
    </xf>
    <xf numFmtId="0" fontId="14" fillId="3" borderId="10" xfId="0" applyFont="1" applyFill="1" applyBorder="1" applyAlignment="1">
      <alignment horizontal="left" vertical="center" indent="1"/>
    </xf>
    <xf numFmtId="0" fontId="14" fillId="3" borderId="11" xfId="0" applyFont="1" applyFill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0" fontId="6" fillId="2" borderId="9" xfId="0" applyFont="1" applyFill="1" applyBorder="1" applyAlignment="1">
      <alignment horizontal="left" vertical="center" indent="1"/>
    </xf>
    <xf numFmtId="0" fontId="6" fillId="2" borderId="14" xfId="0" applyFont="1" applyFill="1" applyBorder="1" applyAlignment="1">
      <alignment horizontal="left" vertical="center" indent="1"/>
    </xf>
    <xf numFmtId="0" fontId="6" fillId="2" borderId="15" xfId="0" applyFont="1" applyFill="1" applyBorder="1" applyAlignment="1">
      <alignment horizontal="center" vertical="center"/>
    </xf>
    <xf numFmtId="0" fontId="20" fillId="0" borderId="7" xfId="0" applyFont="1" applyBorder="1" applyAlignment="1" applyProtection="1">
      <alignment vertical="center"/>
      <protection locked="0"/>
    </xf>
    <xf numFmtId="0" fontId="0" fillId="0" borderId="0" xfId="0" quotePrefix="1"/>
    <xf numFmtId="0" fontId="0" fillId="0" borderId="0" xfId="0" applyAlignment="1">
      <alignment horizontal="left"/>
    </xf>
    <xf numFmtId="0" fontId="17" fillId="0" borderId="0" xfId="0" applyFont="1"/>
    <xf numFmtId="0" fontId="23" fillId="0" borderId="7" xfId="0" applyFont="1" applyBorder="1"/>
    <xf numFmtId="49" fontId="23" fillId="0" borderId="7" xfId="0" applyNumberFormat="1" applyFont="1" applyBorder="1" applyAlignment="1">
      <alignment horizontal="center"/>
    </xf>
    <xf numFmtId="0" fontId="4" fillId="0" borderId="7" xfId="0" applyFont="1" applyBorder="1"/>
    <xf numFmtId="49" fontId="4" fillId="0" borderId="7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/>
    <xf numFmtId="167" fontId="5" fillId="0" borderId="0" xfId="0" applyNumberFormat="1" applyFont="1" applyAlignment="1">
      <alignment horizontal="right" vertical="center"/>
    </xf>
    <xf numFmtId="167" fontId="6" fillId="2" borderId="1" xfId="0" applyNumberFormat="1" applyFont="1" applyFill="1" applyBorder="1" applyAlignment="1">
      <alignment horizontal="center" vertical="center"/>
    </xf>
    <xf numFmtId="167" fontId="7" fillId="0" borderId="1" xfId="0" applyNumberFormat="1" applyFont="1" applyBorder="1" applyAlignment="1" applyProtection="1">
      <alignment horizontal="center" vertical="center"/>
      <protection locked="0"/>
    </xf>
    <xf numFmtId="167" fontId="9" fillId="0" borderId="1" xfId="0" applyNumberFormat="1" applyFont="1" applyBorder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167" fontId="6" fillId="0" borderId="0" xfId="0" applyNumberFormat="1" applyFont="1" applyAlignment="1">
      <alignment horizontal="left" vertical="center" indent="1"/>
    </xf>
    <xf numFmtId="167" fontId="7" fillId="0" borderId="0" xfId="0" applyNumberFormat="1" applyFont="1" applyAlignment="1" applyProtection="1">
      <alignment vertical="center"/>
      <protection locked="0"/>
    </xf>
    <xf numFmtId="167" fontId="4" fillId="0" borderId="6" xfId="0" applyNumberFormat="1" applyFont="1" applyBorder="1" applyAlignment="1" applyProtection="1">
      <alignment vertical="center"/>
      <protection locked="0"/>
    </xf>
    <xf numFmtId="167" fontId="11" fillId="0" borderId="6" xfId="0" applyNumberFormat="1" applyFont="1" applyBorder="1" applyAlignment="1">
      <alignment vertical="center"/>
    </xf>
    <xf numFmtId="167" fontId="11" fillId="0" borderId="12" xfId="0" applyNumberFormat="1" applyFont="1" applyBorder="1" applyAlignment="1" applyProtection="1">
      <alignment vertical="center"/>
      <protection locked="0"/>
    </xf>
    <xf numFmtId="0" fontId="26" fillId="0" borderId="7" xfId="0" applyFont="1" applyBorder="1"/>
    <xf numFmtId="49" fontId="26" fillId="0" borderId="7" xfId="0" applyNumberFormat="1" applyFont="1" applyBorder="1" applyAlignment="1">
      <alignment horizontal="center"/>
    </xf>
    <xf numFmtId="0" fontId="28" fillId="0" borderId="7" xfId="0" applyFont="1" applyBorder="1"/>
    <xf numFmtId="49" fontId="28" fillId="0" borderId="7" xfId="0" applyNumberFormat="1" applyFont="1" applyBorder="1" applyAlignment="1">
      <alignment horizontal="center"/>
    </xf>
    <xf numFmtId="165" fontId="15" fillId="5" borderId="7" xfId="2" applyFont="1" applyFill="1" applyBorder="1"/>
    <xf numFmtId="2" fontId="27" fillId="5" borderId="7" xfId="3" applyNumberFormat="1" applyFont="1" applyFill="1" applyBorder="1"/>
    <xf numFmtId="165" fontId="11" fillId="5" borderId="7" xfId="2" applyFont="1" applyFill="1" applyBorder="1"/>
    <xf numFmtId="2" fontId="30" fillId="5" borderId="7" xfId="3" applyNumberFormat="1" applyFont="1" applyFill="1" applyBorder="1"/>
    <xf numFmtId="165" fontId="15" fillId="5" borderId="0" xfId="2" applyFont="1" applyFill="1" applyBorder="1"/>
    <xf numFmtId="165" fontId="11" fillId="5" borderId="0" xfId="2" applyFont="1" applyFill="1" applyBorder="1"/>
    <xf numFmtId="167" fontId="4" fillId="0" borderId="7" xfId="0" applyNumberFormat="1" applyFont="1" applyBorder="1" applyAlignment="1" applyProtection="1">
      <alignment vertical="center"/>
      <protection locked="0"/>
    </xf>
    <xf numFmtId="0" fontId="25" fillId="0" borderId="0" xfId="0" applyFont="1"/>
    <xf numFmtId="167" fontId="6" fillId="2" borderId="15" xfId="0" applyNumberFormat="1" applyFont="1" applyFill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 applyProtection="1">
      <alignment vertical="center"/>
      <protection locked="0"/>
    </xf>
    <xf numFmtId="0" fontId="14" fillId="3" borderId="0" xfId="0" applyFont="1" applyFill="1" applyAlignment="1">
      <alignment horizontal="left" vertical="center" indent="1"/>
    </xf>
    <xf numFmtId="167" fontId="11" fillId="0" borderId="0" xfId="0" applyNumberFormat="1" applyFont="1" applyAlignment="1" applyProtection="1">
      <alignment vertical="center"/>
      <protection locked="0"/>
    </xf>
    <xf numFmtId="0" fontId="25" fillId="0" borderId="0" xfId="0" applyFont="1" applyAlignment="1">
      <alignment horizontal="left"/>
    </xf>
    <xf numFmtId="0" fontId="25" fillId="0" borderId="21" xfId="0" applyFont="1" applyBorder="1"/>
    <xf numFmtId="0" fontId="25" fillId="0" borderId="8" xfId="0" applyFont="1" applyBorder="1"/>
    <xf numFmtId="0" fontId="4" fillId="0" borderId="8" xfId="0" applyFont="1" applyBorder="1" applyAlignment="1" applyProtection="1">
      <alignment vertical="center"/>
      <protection locked="0"/>
    </xf>
    <xf numFmtId="0" fontId="14" fillId="3" borderId="8" xfId="0" applyFont="1" applyFill="1" applyBorder="1" applyAlignment="1">
      <alignment horizontal="left" vertical="center" indent="1"/>
    </xf>
    <xf numFmtId="167" fontId="11" fillId="0" borderId="22" xfId="0" applyNumberFormat="1" applyFont="1" applyBorder="1" applyAlignment="1" applyProtection="1">
      <alignment vertical="center"/>
      <protection locked="0"/>
    </xf>
    <xf numFmtId="0" fontId="25" fillId="0" borderId="23" xfId="0" applyFont="1" applyBorder="1"/>
    <xf numFmtId="167" fontId="11" fillId="0" borderId="24" xfId="0" applyNumberFormat="1" applyFont="1" applyBorder="1" applyAlignment="1" applyProtection="1">
      <alignment vertical="center"/>
      <protection locked="0"/>
    </xf>
    <xf numFmtId="0" fontId="25" fillId="0" borderId="17" xfId="0" applyFont="1" applyBorder="1"/>
    <xf numFmtId="0" fontId="25" fillId="0" borderId="18" xfId="0" applyFont="1" applyBorder="1"/>
    <xf numFmtId="0" fontId="4" fillId="0" borderId="18" xfId="0" applyFont="1" applyBorder="1" applyAlignment="1" applyProtection="1">
      <alignment vertical="center"/>
      <protection locked="0"/>
    </xf>
    <xf numFmtId="0" fontId="15" fillId="0" borderId="18" xfId="0" applyFont="1" applyBorder="1" applyAlignment="1">
      <alignment vertical="center"/>
    </xf>
    <xf numFmtId="165" fontId="4" fillId="0" borderId="18" xfId="0" applyNumberFormat="1" applyFont="1" applyBorder="1" applyAlignment="1" applyProtection="1">
      <alignment vertical="center"/>
      <protection locked="0"/>
    </xf>
    <xf numFmtId="167" fontId="0" fillId="0" borderId="20" xfId="0" applyNumberFormat="1" applyBorder="1"/>
    <xf numFmtId="49" fontId="7" fillId="0" borderId="7" xfId="0" applyNumberFormat="1" applyFont="1" applyBorder="1" applyAlignment="1">
      <alignment horizontal="center"/>
    </xf>
    <xf numFmtId="0" fontId="34" fillId="0" borderId="0" xfId="0" applyFont="1" applyAlignment="1" applyProtection="1">
      <alignment vertical="center"/>
      <protection locked="0"/>
    </xf>
    <xf numFmtId="0" fontId="33" fillId="0" borderId="0" xfId="0" applyFont="1" applyAlignment="1" applyProtection="1">
      <alignment vertical="center"/>
      <protection locked="0"/>
    </xf>
    <xf numFmtId="0" fontId="33" fillId="0" borderId="0" xfId="0" applyFont="1" applyAlignment="1" applyProtection="1">
      <alignment vertical="top"/>
      <protection locked="0"/>
    </xf>
    <xf numFmtId="0" fontId="33" fillId="0" borderId="0" xfId="0" applyFont="1" applyAlignment="1">
      <alignment vertical="center"/>
    </xf>
    <xf numFmtId="49" fontId="33" fillId="0" borderId="7" xfId="0" applyNumberFormat="1" applyFont="1" applyBorder="1" applyAlignment="1">
      <alignment horizontal="center"/>
    </xf>
    <xf numFmtId="49" fontId="35" fillId="0" borderId="7" xfId="0" applyNumberFormat="1" applyFont="1" applyBorder="1" applyAlignment="1">
      <alignment horizontal="center"/>
    </xf>
    <xf numFmtId="49" fontId="16" fillId="0" borderId="7" xfId="0" applyNumberFormat="1" applyFont="1" applyBorder="1" applyAlignment="1">
      <alignment horizontal="center"/>
    </xf>
    <xf numFmtId="0" fontId="33" fillId="0" borderId="7" xfId="0" applyFont="1" applyBorder="1" applyAlignment="1" applyProtection="1">
      <alignment vertical="center"/>
      <protection locked="0"/>
    </xf>
    <xf numFmtId="0" fontId="33" fillId="0" borderId="8" xfId="0" applyFont="1" applyBorder="1" applyAlignment="1" applyProtection="1">
      <alignment vertical="center"/>
      <protection locked="0"/>
    </xf>
    <xf numFmtId="0" fontId="33" fillId="0" borderId="18" xfId="0" applyFont="1" applyBorder="1" applyAlignment="1" applyProtection="1">
      <alignment vertical="center"/>
      <protection locked="0"/>
    </xf>
    <xf numFmtId="0" fontId="33" fillId="0" borderId="0" xfId="0" applyFont="1"/>
    <xf numFmtId="1" fontId="33" fillId="0" borderId="0" xfId="0" applyNumberFormat="1" applyFont="1" applyAlignment="1" applyProtection="1">
      <alignment vertical="center"/>
      <protection locked="0"/>
    </xf>
    <xf numFmtId="0" fontId="35" fillId="0" borderId="0" xfId="0" applyFont="1"/>
    <xf numFmtId="167" fontId="4" fillId="0" borderId="7" xfId="0" applyNumberFormat="1" applyFont="1" applyBorder="1" applyAlignment="1" applyProtection="1">
      <alignment horizontal="center" vertical="center"/>
      <protection locked="0"/>
    </xf>
    <xf numFmtId="168" fontId="13" fillId="0" borderId="6" xfId="0" applyNumberFormat="1" applyFont="1" applyBorder="1" applyAlignment="1" applyProtection="1">
      <alignment vertical="center"/>
      <protection locked="0"/>
    </xf>
    <xf numFmtId="2" fontId="11" fillId="0" borderId="13" xfId="0" applyNumberFormat="1" applyFont="1" applyBorder="1" applyAlignment="1" applyProtection="1">
      <alignment vertical="center"/>
      <protection locked="0"/>
    </xf>
    <xf numFmtId="2" fontId="11" fillId="0" borderId="12" xfId="0" applyNumberFormat="1" applyFont="1" applyBorder="1" applyAlignment="1" applyProtection="1">
      <alignment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20" fillId="0" borderId="7" xfId="0" applyFont="1" applyBorder="1"/>
    <xf numFmtId="0" fontId="18" fillId="0" borderId="0" xfId="0" applyFont="1"/>
    <xf numFmtId="0" fontId="19" fillId="0" borderId="0" xfId="0" applyFont="1"/>
    <xf numFmtId="0" fontId="39" fillId="0" borderId="0" xfId="0" applyFont="1"/>
    <xf numFmtId="0" fontId="39" fillId="0" borderId="8" xfId="0" applyFont="1" applyBorder="1"/>
    <xf numFmtId="0" fontId="39" fillId="0" borderId="18" xfId="0" applyFont="1" applyBorder="1"/>
    <xf numFmtId="0" fontId="8" fillId="0" borderId="0" xfId="0" applyFont="1" applyAlignment="1" applyProtection="1">
      <alignment vertical="center"/>
      <protection locked="0"/>
    </xf>
    <xf numFmtId="0" fontId="39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quotePrefix="1" applyFont="1"/>
    <xf numFmtId="0" fontId="38" fillId="2" borderId="14" xfId="0" applyFont="1" applyFill="1" applyBorder="1" applyAlignment="1">
      <alignment horizontal="left" vertical="center" indent="1"/>
    </xf>
    <xf numFmtId="0" fontId="13" fillId="0" borderId="7" xfId="0" applyFont="1" applyBorder="1"/>
    <xf numFmtId="2" fontId="4" fillId="0" borderId="7" xfId="0" applyNumberFormat="1" applyFont="1" applyBorder="1" applyAlignment="1" applyProtection="1">
      <alignment horizontal="center" vertical="center"/>
      <protection locked="0"/>
    </xf>
    <xf numFmtId="0" fontId="29" fillId="0" borderId="0" xfId="0" quotePrefix="1" applyFont="1" applyAlignment="1">
      <alignment horizontal="left"/>
    </xf>
    <xf numFmtId="0" fontId="29" fillId="0" borderId="0" xfId="0" applyFont="1" applyAlignment="1">
      <alignment horizontal="left"/>
    </xf>
    <xf numFmtId="2" fontId="13" fillId="0" borderId="6" xfId="0" applyNumberFormat="1" applyFont="1" applyBorder="1" applyAlignment="1" applyProtection="1">
      <alignment vertical="center"/>
      <protection locked="0"/>
    </xf>
    <xf numFmtId="2" fontId="11" fillId="0" borderId="6" xfId="0" applyNumberFormat="1" applyFont="1" applyBorder="1" applyAlignment="1">
      <alignment vertical="center"/>
    </xf>
    <xf numFmtId="0" fontId="44" fillId="0" borderId="17" xfId="0" applyFont="1" applyBorder="1" applyAlignment="1">
      <alignment horizontal="left" vertical="center" indent="1"/>
    </xf>
    <xf numFmtId="0" fontId="44" fillId="0" borderId="5" xfId="0" applyFont="1" applyBorder="1" applyAlignment="1">
      <alignment horizontal="left" vertical="center" indent="1"/>
    </xf>
    <xf numFmtId="167" fontId="44" fillId="0" borderId="6" xfId="0" applyNumberFormat="1" applyFont="1" applyBorder="1" applyAlignment="1">
      <alignment vertical="center"/>
    </xf>
    <xf numFmtId="0" fontId="44" fillId="3" borderId="10" xfId="0" applyFont="1" applyFill="1" applyBorder="1" applyAlignment="1">
      <alignment horizontal="left" vertical="center" indent="1"/>
    </xf>
    <xf numFmtId="0" fontId="6" fillId="2" borderId="7" xfId="0" applyFont="1" applyFill="1" applyBorder="1" applyAlignment="1">
      <alignment horizontal="left" vertical="center" indent="1"/>
    </xf>
    <xf numFmtId="0" fontId="31" fillId="2" borderId="7" xfId="0" applyFont="1" applyFill="1" applyBorder="1" applyAlignment="1">
      <alignment horizontal="left" vertical="center" indent="1"/>
    </xf>
    <xf numFmtId="0" fontId="6" fillId="2" borderId="7" xfId="0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0" fillId="0" borderId="8" xfId="0" applyBorder="1"/>
    <xf numFmtId="0" fontId="3" fillId="0" borderId="8" xfId="0" applyFont="1" applyBorder="1" applyAlignment="1">
      <alignment vertical="center"/>
    </xf>
    <xf numFmtId="167" fontId="0" fillId="0" borderId="22" xfId="0" applyNumberFormat="1" applyBorder="1"/>
    <xf numFmtId="0" fontId="4" fillId="0" borderId="23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0" fillId="0" borderId="24" xfId="0" applyNumberFormat="1" applyBorder="1"/>
    <xf numFmtId="167" fontId="5" fillId="0" borderId="24" xfId="0" applyNumberFormat="1" applyFont="1" applyBorder="1" applyAlignment="1">
      <alignment horizontal="right" vertical="center"/>
    </xf>
    <xf numFmtId="0" fontId="4" fillId="0" borderId="0" xfId="0" applyFont="1" applyAlignment="1" applyProtection="1">
      <alignment horizontal="center" vertical="top"/>
      <protection locked="0"/>
    </xf>
    <xf numFmtId="167" fontId="6" fillId="2" borderId="25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7" fontId="9" fillId="0" borderId="25" xfId="0" applyNumberFormat="1" applyFont="1" applyBorder="1" applyAlignment="1">
      <alignment horizontal="center" vertical="center"/>
    </xf>
    <xf numFmtId="167" fontId="4" fillId="0" borderId="24" xfId="0" applyNumberFormat="1" applyFont="1" applyBorder="1" applyAlignment="1">
      <alignment vertical="center"/>
    </xf>
    <xf numFmtId="167" fontId="6" fillId="0" borderId="24" xfId="0" applyNumberFormat="1" applyFont="1" applyBorder="1" applyAlignment="1">
      <alignment horizontal="left" vertical="center" indent="1"/>
    </xf>
    <xf numFmtId="0" fontId="13" fillId="0" borderId="24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 applyProtection="1">
      <alignment vertical="center"/>
      <protection locked="0"/>
    </xf>
    <xf numFmtId="0" fontId="13" fillId="0" borderId="24" xfId="0" applyFont="1" applyBorder="1" applyAlignment="1">
      <alignment horizontal="left" vertical="center"/>
    </xf>
    <xf numFmtId="0" fontId="13" fillId="0" borderId="23" xfId="0" applyFont="1" applyBorder="1" applyAlignment="1" applyProtection="1">
      <alignment vertical="center"/>
      <protection locked="0"/>
    </xf>
    <xf numFmtId="167" fontId="11" fillId="0" borderId="24" xfId="0" applyNumberFormat="1" applyFont="1" applyBorder="1" applyAlignment="1">
      <alignment vertical="center"/>
    </xf>
    <xf numFmtId="49" fontId="48" fillId="0" borderId="7" xfId="0" applyNumberFormat="1" applyFont="1" applyBorder="1" applyAlignment="1">
      <alignment horizontal="center"/>
    </xf>
    <xf numFmtId="0" fontId="47" fillId="0" borderId="7" xfId="0" applyFont="1" applyBorder="1"/>
    <xf numFmtId="49" fontId="47" fillId="0" borderId="7" xfId="0" applyNumberFormat="1" applyFont="1" applyBorder="1" applyAlignment="1">
      <alignment horizontal="center"/>
    </xf>
    <xf numFmtId="0" fontId="48" fillId="0" borderId="7" xfId="0" applyFont="1" applyBorder="1" applyAlignment="1">
      <alignment horizontal="center"/>
    </xf>
    <xf numFmtId="0" fontId="48" fillId="0" borderId="7" xfId="0" applyFont="1" applyBorder="1" applyAlignment="1">
      <alignment wrapText="1"/>
    </xf>
    <xf numFmtId="167" fontId="47" fillId="0" borderId="7" xfId="0" applyNumberFormat="1" applyFont="1" applyBorder="1" applyAlignment="1" applyProtection="1">
      <alignment vertical="center"/>
      <protection locked="0"/>
    </xf>
    <xf numFmtId="0" fontId="43" fillId="0" borderId="0" xfId="0" applyFont="1"/>
    <xf numFmtId="0" fontId="1" fillId="0" borderId="28" xfId="0" applyFont="1" applyBorder="1" applyAlignment="1" applyProtection="1">
      <alignment vertical="center"/>
      <protection locked="0"/>
    </xf>
    <xf numFmtId="0" fontId="4" fillId="0" borderId="28" xfId="0" applyFont="1" applyBorder="1" applyAlignment="1" applyProtection="1">
      <alignment vertical="center"/>
      <protection locked="0"/>
    </xf>
    <xf numFmtId="0" fontId="4" fillId="0" borderId="28" xfId="0" applyFont="1" applyBorder="1" applyAlignment="1">
      <alignment vertical="center"/>
    </xf>
    <xf numFmtId="0" fontId="20" fillId="0" borderId="28" xfId="0" applyFont="1" applyBorder="1" applyAlignment="1" applyProtection="1">
      <alignment vertical="center"/>
      <protection locked="0"/>
    </xf>
    <xf numFmtId="0" fontId="7" fillId="0" borderId="28" xfId="0" applyFont="1" applyBorder="1" applyAlignment="1" applyProtection="1">
      <alignment vertical="center"/>
      <protection locked="0"/>
    </xf>
    <xf numFmtId="0" fontId="13" fillId="0" borderId="28" xfId="0" applyFont="1" applyBorder="1" applyAlignment="1" applyProtection="1">
      <alignment vertical="center"/>
      <protection locked="0"/>
    </xf>
    <xf numFmtId="0" fontId="6" fillId="2" borderId="30" xfId="0" applyFont="1" applyFill="1" applyBorder="1" applyAlignment="1">
      <alignment horizontal="left" vertical="center" indent="1"/>
    </xf>
    <xf numFmtId="0" fontId="41" fillId="0" borderId="0" xfId="25"/>
    <xf numFmtId="0" fontId="25" fillId="0" borderId="31" xfId="0" applyFont="1" applyBorder="1"/>
    <xf numFmtId="0" fontId="25" fillId="0" borderId="28" xfId="0" applyFont="1" applyBorder="1"/>
    <xf numFmtId="0" fontId="25" fillId="0" borderId="32" xfId="0" applyFont="1" applyBorder="1"/>
    <xf numFmtId="0" fontId="13" fillId="0" borderId="28" xfId="0" applyFont="1" applyBorder="1"/>
    <xf numFmtId="0" fontId="13" fillId="0" borderId="28" xfId="0" applyFont="1" applyBorder="1" applyAlignment="1">
      <alignment vertical="center"/>
    </xf>
    <xf numFmtId="0" fontId="16" fillId="0" borderId="28" xfId="0" applyFont="1" applyBorder="1"/>
    <xf numFmtId="0" fontId="0" fillId="0" borderId="28" xfId="0" applyBorder="1"/>
    <xf numFmtId="0" fontId="47" fillId="0" borderId="7" xfId="0" applyFont="1" applyBorder="1" applyAlignment="1" applyProtection="1">
      <alignment horizontal="center" vertical="center"/>
      <protection locked="0"/>
    </xf>
    <xf numFmtId="167" fontId="47" fillId="0" borderId="7" xfId="0" applyNumberFormat="1" applyFont="1" applyBorder="1" applyAlignment="1" applyProtection="1">
      <alignment horizontal="center" vertical="center"/>
      <protection locked="0"/>
    </xf>
    <xf numFmtId="165" fontId="47" fillId="0" borderId="7" xfId="0" applyNumberFormat="1" applyFont="1" applyBorder="1" applyAlignment="1" applyProtection="1">
      <alignment horizontal="center" vertical="center"/>
      <protection locked="0"/>
    </xf>
    <xf numFmtId="3" fontId="48" fillId="0" borderId="7" xfId="0" applyNumberFormat="1" applyFont="1" applyBorder="1"/>
    <xf numFmtId="0" fontId="47" fillId="0" borderId="7" xfId="0" applyFont="1" applyBorder="1" applyAlignment="1" applyProtection="1">
      <alignment vertical="center"/>
      <protection locked="0"/>
    </xf>
    <xf numFmtId="0" fontId="46" fillId="0" borderId="7" xfId="0" applyFont="1" applyBorder="1"/>
    <xf numFmtId="0" fontId="48" fillId="0" borderId="7" xfId="0" applyFont="1" applyBorder="1"/>
    <xf numFmtId="167" fontId="11" fillId="0" borderId="20" xfId="0" applyNumberFormat="1" applyFont="1" applyBorder="1" applyAlignment="1" applyProtection="1">
      <alignment vertical="center"/>
      <protection locked="0"/>
    </xf>
    <xf numFmtId="3" fontId="46" fillId="0" borderId="7" xfId="27" applyFont="1" applyBorder="1" applyAlignment="1">
      <alignment vertical="center"/>
    </xf>
    <xf numFmtId="0" fontId="48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center" vertical="center"/>
    </xf>
    <xf numFmtId="167" fontId="11" fillId="0" borderId="7" xfId="0" applyNumberFormat="1" applyFont="1" applyBorder="1" applyAlignment="1" applyProtection="1">
      <alignment vertical="center"/>
      <protection locked="0"/>
    </xf>
    <xf numFmtId="0" fontId="14" fillId="3" borderId="17" xfId="0" applyFont="1" applyFill="1" applyBorder="1" applyAlignment="1">
      <alignment horizontal="left" vertical="center" indent="1"/>
    </xf>
    <xf numFmtId="167" fontId="11" fillId="0" borderId="33" xfId="0" applyNumberFormat="1" applyFont="1" applyBorder="1" applyAlignment="1" applyProtection="1">
      <alignment vertical="center"/>
      <protection locked="0"/>
    </xf>
    <xf numFmtId="167" fontId="11" fillId="0" borderId="7" xfId="0" applyNumberFormat="1" applyFont="1" applyBorder="1" applyAlignment="1">
      <alignment vertical="center"/>
    </xf>
    <xf numFmtId="49" fontId="43" fillId="0" borderId="7" xfId="0" applyNumberFormat="1" applyFont="1" applyBorder="1" applyAlignment="1">
      <alignment horizontal="center"/>
    </xf>
    <xf numFmtId="0" fontId="43" fillId="0" borderId="7" xfId="0" applyFont="1" applyBorder="1"/>
    <xf numFmtId="0" fontId="51" fillId="0" borderId="7" xfId="0" applyFont="1" applyBorder="1" applyAlignment="1" applyProtection="1">
      <alignment horizontal="center" vertical="center"/>
      <protection locked="0"/>
    </xf>
    <xf numFmtId="165" fontId="51" fillId="0" borderId="7" xfId="0" applyNumberFormat="1" applyFont="1" applyBorder="1" applyAlignment="1" applyProtection="1">
      <alignment horizontal="center" vertical="center"/>
      <protection locked="0"/>
    </xf>
    <xf numFmtId="167" fontId="51" fillId="0" borderId="7" xfId="0" applyNumberFormat="1" applyFont="1" applyBorder="1" applyAlignment="1" applyProtection="1">
      <alignment vertical="center"/>
      <protection locked="0"/>
    </xf>
    <xf numFmtId="49" fontId="51" fillId="0" borderId="7" xfId="0" applyNumberFormat="1" applyFont="1" applyBorder="1" applyAlignment="1">
      <alignment horizontal="center"/>
    </xf>
    <xf numFmtId="0" fontId="51" fillId="0" borderId="7" xfId="0" applyFont="1" applyBorder="1"/>
    <xf numFmtId="165" fontId="43" fillId="0" borderId="7" xfId="1" applyFont="1" applyFill="1" applyBorder="1" applyAlignment="1">
      <alignment horizontal="right"/>
    </xf>
    <xf numFmtId="167" fontId="0" fillId="0" borderId="7" xfId="0" applyNumberFormat="1" applyBorder="1"/>
    <xf numFmtId="0" fontId="52" fillId="0" borderId="7" xfId="0" applyFont="1" applyBorder="1" applyAlignment="1" applyProtection="1">
      <alignment horizontal="center" vertical="center"/>
      <protection locked="0"/>
    </xf>
    <xf numFmtId="0" fontId="51" fillId="0" borderId="7" xfId="0" applyFont="1" applyBorder="1" applyAlignment="1" applyProtection="1">
      <alignment vertical="center"/>
      <protection locked="0"/>
    </xf>
    <xf numFmtId="165" fontId="48" fillId="0" borderId="7" xfId="1" applyFont="1" applyFill="1" applyBorder="1" applyAlignment="1">
      <alignment horizontal="right"/>
    </xf>
    <xf numFmtId="43" fontId="21" fillId="5" borderId="7" xfId="7" applyFont="1" applyFill="1" applyBorder="1" applyAlignment="1">
      <alignment horizontal="right"/>
    </xf>
    <xf numFmtId="0" fontId="48" fillId="7" borderId="7" xfId="0" applyFont="1" applyFill="1" applyBorder="1"/>
    <xf numFmtId="0" fontId="23" fillId="5" borderId="7" xfId="0" applyFont="1" applyFill="1" applyBorder="1" applyAlignment="1" applyProtection="1">
      <alignment horizontal="center" vertical="center"/>
      <protection locked="0"/>
    </xf>
    <xf numFmtId="165" fontId="21" fillId="5" borderId="7" xfId="1" applyFont="1" applyFill="1" applyBorder="1" applyAlignment="1">
      <alignment horizontal="right"/>
    </xf>
    <xf numFmtId="0" fontId="15" fillId="0" borderId="7" xfId="0" applyFont="1" applyBorder="1" applyAlignment="1">
      <alignment horizontal="left" vertical="center" indent="1"/>
    </xf>
    <xf numFmtId="167" fontId="15" fillId="0" borderId="7" xfId="0" applyNumberFormat="1" applyFont="1" applyBorder="1" applyAlignment="1" applyProtection="1">
      <alignment vertical="center"/>
      <protection locked="0"/>
    </xf>
    <xf numFmtId="0" fontId="48" fillId="5" borderId="7" xfId="0" applyFont="1" applyFill="1" applyBorder="1" applyAlignment="1" applyProtection="1">
      <alignment horizontal="center" vertical="center"/>
      <protection locked="0"/>
    </xf>
    <xf numFmtId="165" fontId="48" fillId="5" borderId="7" xfId="1" applyFont="1" applyFill="1" applyBorder="1" applyAlignment="1">
      <alignment horizontal="right"/>
    </xf>
    <xf numFmtId="0" fontId="47" fillId="5" borderId="7" xfId="0" applyFont="1" applyFill="1" applyBorder="1"/>
    <xf numFmtId="0" fontId="53" fillId="0" borderId="7" xfId="0" applyFont="1" applyBorder="1" applyAlignment="1" applyProtection="1">
      <alignment vertical="center"/>
      <protection locked="0"/>
    </xf>
    <xf numFmtId="0" fontId="53" fillId="0" borderId="7" xfId="0" applyFont="1" applyBorder="1" applyAlignment="1" applyProtection="1">
      <alignment horizontal="center" vertical="center"/>
      <protection locked="0"/>
    </xf>
    <xf numFmtId="0" fontId="54" fillId="0" borderId="7" xfId="0" applyFont="1" applyBorder="1" applyAlignment="1">
      <alignment horizontal="center" vertical="center"/>
    </xf>
    <xf numFmtId="0" fontId="53" fillId="0" borderId="7" xfId="0" applyFont="1" applyBorder="1" applyAlignment="1">
      <alignment horizontal="left" vertical="center" indent="1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/>
    <xf numFmtId="2" fontId="5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vertical="center"/>
    </xf>
    <xf numFmtId="2" fontId="0" fillId="0" borderId="0" xfId="0" applyNumberFormat="1"/>
    <xf numFmtId="2" fontId="6" fillId="0" borderId="0" xfId="0" applyNumberFormat="1" applyFont="1" applyAlignment="1">
      <alignment horizontal="left" vertical="center" indent="1"/>
    </xf>
    <xf numFmtId="2" fontId="13" fillId="0" borderId="0" xfId="0" applyNumberFormat="1" applyFont="1" applyAlignment="1" applyProtection="1">
      <alignment vertical="center"/>
      <protection locked="0"/>
    </xf>
    <xf numFmtId="2" fontId="13" fillId="0" borderId="0" xfId="0" applyNumberFormat="1" applyFont="1" applyAlignment="1">
      <alignment vertical="center"/>
    </xf>
    <xf numFmtId="2" fontId="6" fillId="2" borderId="7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 applyProtection="1">
      <alignment vertical="center"/>
      <protection locked="0"/>
    </xf>
    <xf numFmtId="2" fontId="15" fillId="0" borderId="0" xfId="0" applyNumberFormat="1" applyFont="1" applyAlignment="1">
      <alignment vertical="center"/>
    </xf>
    <xf numFmtId="2" fontId="16" fillId="0" borderId="0" xfId="0" applyNumberFormat="1" applyFont="1"/>
    <xf numFmtId="0" fontId="0" fillId="0" borderId="7" xfId="0" applyBorder="1" applyAlignment="1">
      <alignment horizontal="center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170" fontId="25" fillId="0" borderId="0" xfId="0" applyNumberFormat="1" applyFont="1"/>
    <xf numFmtId="170" fontId="0" fillId="0" borderId="0" xfId="0" applyNumberFormat="1"/>
    <xf numFmtId="0" fontId="48" fillId="7" borderId="7" xfId="14" applyFont="1" applyFill="1" applyBorder="1"/>
    <xf numFmtId="0" fontId="18" fillId="5" borderId="7" xfId="0" applyFont="1" applyFill="1" applyBorder="1"/>
    <xf numFmtId="14" fontId="7" fillId="0" borderId="1" xfId="0" applyNumberFormat="1" applyFont="1" applyBorder="1" applyAlignment="1">
      <alignment horizontal="center" vertical="center"/>
    </xf>
    <xf numFmtId="49" fontId="46" fillId="0" borderId="7" xfId="0" applyNumberFormat="1" applyFont="1" applyBorder="1" applyAlignment="1">
      <alignment horizontal="center"/>
    </xf>
    <xf numFmtId="167" fontId="46" fillId="0" borderId="7" xfId="0" applyNumberFormat="1" applyFont="1" applyBorder="1" applyAlignment="1" applyProtection="1">
      <alignment vertical="center"/>
      <protection locked="0"/>
    </xf>
    <xf numFmtId="0" fontId="46" fillId="0" borderId="7" xfId="0" applyFont="1" applyBorder="1" applyAlignment="1" applyProtection="1">
      <alignment horizontal="center" vertical="center"/>
      <protection locked="0"/>
    </xf>
    <xf numFmtId="0" fontId="46" fillId="0" borderId="7" xfId="0" applyFont="1" applyBorder="1" applyAlignment="1" applyProtection="1">
      <alignment vertical="center"/>
      <protection locked="0"/>
    </xf>
    <xf numFmtId="0" fontId="27" fillId="5" borderId="7" xfId="4" applyFont="1" applyFill="1" applyBorder="1" applyAlignment="1">
      <alignment horizontal="center"/>
    </xf>
    <xf numFmtId="49" fontId="15" fillId="5" borderId="7" xfId="14" applyNumberFormat="1" applyFont="1" applyFill="1" applyBorder="1" applyAlignment="1">
      <alignment horizontal="center"/>
    </xf>
    <xf numFmtId="2" fontId="15" fillId="5" borderId="7" xfId="1" applyNumberFormat="1" applyFont="1" applyFill="1" applyBorder="1"/>
    <xf numFmtId="167" fontId="15" fillId="5" borderId="7" xfId="0" applyNumberFormat="1" applyFont="1" applyFill="1" applyBorder="1" applyAlignment="1" applyProtection="1">
      <alignment vertical="center"/>
      <protection locked="0"/>
    </xf>
    <xf numFmtId="0" fontId="27" fillId="5" borderId="7" xfId="0" applyFont="1" applyFill="1" applyBorder="1" applyAlignment="1">
      <alignment wrapText="1"/>
    </xf>
    <xf numFmtId="49" fontId="15" fillId="0" borderId="7" xfId="0" applyNumberFormat="1" applyFont="1" applyBorder="1" applyAlignment="1">
      <alignment horizontal="center"/>
    </xf>
    <xf numFmtId="0" fontId="15" fillId="0" borderId="7" xfId="0" applyFont="1" applyBorder="1"/>
    <xf numFmtId="49" fontId="27" fillId="0" borderId="7" xfId="0" applyNumberFormat="1" applyFont="1" applyBorder="1" applyAlignment="1">
      <alignment horizontal="center"/>
    </xf>
    <xf numFmtId="43" fontId="15" fillId="5" borderId="7" xfId="0" applyNumberFormat="1" applyFont="1" applyFill="1" applyBorder="1"/>
    <xf numFmtId="43" fontId="15" fillId="5" borderId="7" xfId="0" applyNumberFormat="1" applyFont="1" applyFill="1" applyBorder="1" applyAlignment="1" applyProtection="1">
      <alignment vertical="center"/>
      <protection locked="0"/>
    </xf>
    <xf numFmtId="0" fontId="27" fillId="5" borderId="7" xfId="0" applyFont="1" applyFill="1" applyBorder="1"/>
    <xf numFmtId="0" fontId="15" fillId="5" borderId="7" xfId="0" applyFont="1" applyFill="1" applyBorder="1"/>
    <xf numFmtId="49" fontId="27" fillId="5" borderId="7" xfId="0" applyNumberFormat="1" applyFont="1" applyFill="1" applyBorder="1" applyAlignment="1">
      <alignment horizontal="center"/>
    </xf>
    <xf numFmtId="0" fontId="27" fillId="5" borderId="7" xfId="4" applyFont="1" applyFill="1" applyBorder="1" applyAlignment="1">
      <alignment wrapText="1"/>
    </xf>
    <xf numFmtId="0" fontId="27" fillId="0" borderId="7" xfId="4" applyFont="1" applyBorder="1" applyAlignment="1">
      <alignment wrapText="1"/>
    </xf>
    <xf numFmtId="43" fontId="27" fillId="5" borderId="7" xfId="0" applyNumberFormat="1" applyFont="1" applyFill="1" applyBorder="1"/>
    <xf numFmtId="49" fontId="27" fillId="0" borderId="7" xfId="4" applyNumberFormat="1" applyFont="1" applyBorder="1" applyAlignment="1">
      <alignment horizontal="center"/>
    </xf>
    <xf numFmtId="0" fontId="27" fillId="0" borderId="7" xfId="0" applyFont="1" applyBorder="1"/>
    <xf numFmtId="0" fontId="27" fillId="0" borderId="7" xfId="0" applyFont="1" applyBorder="1" applyAlignment="1">
      <alignment wrapText="1"/>
    </xf>
    <xf numFmtId="49" fontId="15" fillId="5" borderId="7" xfId="0" applyNumberFormat="1" applyFont="1" applyFill="1" applyBorder="1" applyAlignment="1">
      <alignment horizontal="center"/>
    </xf>
    <xf numFmtId="43" fontId="15" fillId="5" borderId="7" xfId="7" applyFont="1" applyFill="1" applyBorder="1" applyAlignment="1">
      <alignment horizontal="right"/>
    </xf>
    <xf numFmtId="3" fontId="15" fillId="5" borderId="7" xfId="27" applyFont="1" applyFill="1" applyBorder="1" applyAlignment="1">
      <alignment vertical="center"/>
    </xf>
    <xf numFmtId="0" fontId="15" fillId="5" borderId="7" xfId="0" applyFont="1" applyFill="1" applyBorder="1" applyAlignment="1">
      <alignment wrapText="1"/>
    </xf>
    <xf numFmtId="0" fontId="15" fillId="0" borderId="7" xfId="21" applyFont="1" applyBorder="1"/>
    <xf numFmtId="0" fontId="27" fillId="0" borderId="7" xfId="4" applyFont="1" applyBorder="1" applyAlignment="1">
      <alignment horizontal="center"/>
    </xf>
    <xf numFmtId="165" fontId="27" fillId="0" borderId="7" xfId="2" applyFont="1" applyBorder="1" applyAlignment="1">
      <alignment horizontal="center"/>
    </xf>
    <xf numFmtId="3" fontId="15" fillId="0" borderId="7" xfId="27" applyFont="1" applyBorder="1" applyAlignment="1">
      <alignment vertical="center"/>
    </xf>
    <xf numFmtId="0" fontId="27" fillId="0" borderId="7" xfId="0" applyFont="1" applyBorder="1" applyAlignment="1">
      <alignment horizontal="center"/>
    </xf>
    <xf numFmtId="49" fontId="15" fillId="0" borderId="7" xfId="14" applyNumberFormat="1" applyFont="1" applyBorder="1" applyAlignment="1">
      <alignment horizontal="center"/>
    </xf>
    <xf numFmtId="2" fontId="27" fillId="5" borderId="7" xfId="0" applyNumberFormat="1" applyFont="1" applyFill="1" applyBorder="1"/>
    <xf numFmtId="0" fontId="15" fillId="5" borderId="7" xfId="0" applyFont="1" applyFill="1" applyBorder="1" applyAlignment="1" applyProtection="1">
      <alignment horizontal="center" vertical="center"/>
      <protection locked="0"/>
    </xf>
    <xf numFmtId="0" fontId="15" fillId="5" borderId="7" xfId="0" applyFont="1" applyFill="1" applyBorder="1" applyAlignme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3" fontId="15" fillId="0" borderId="7" xfId="0" applyNumberFormat="1" applyFont="1" applyBorder="1" applyAlignment="1">
      <alignment vertical="center" wrapText="1"/>
    </xf>
    <xf numFmtId="0" fontId="26" fillId="0" borderId="0" xfId="0" applyFont="1"/>
    <xf numFmtId="165" fontId="3" fillId="0" borderId="0" xfId="2" applyFont="1" applyAlignment="1">
      <alignment vertical="center"/>
    </xf>
    <xf numFmtId="165" fontId="4" fillId="0" borderId="0" xfId="2" applyFont="1"/>
    <xf numFmtId="165" fontId="5" fillId="0" borderId="0" xfId="2" applyFont="1" applyAlignment="1">
      <alignment horizontal="right" vertical="center"/>
    </xf>
    <xf numFmtId="165" fontId="4" fillId="0" borderId="0" xfId="2" applyFont="1" applyAlignment="1">
      <alignment vertical="center"/>
    </xf>
    <xf numFmtId="165" fontId="0" fillId="0" borderId="0" xfId="2" applyFont="1"/>
    <xf numFmtId="165" fontId="13" fillId="0" borderId="24" xfId="2" applyFont="1" applyBorder="1" applyAlignment="1" applyProtection="1">
      <alignment horizontal="left" vertical="center"/>
      <protection locked="0"/>
    </xf>
    <xf numFmtId="165" fontId="13" fillId="0" borderId="24" xfId="2" applyFont="1" applyBorder="1" applyAlignment="1">
      <alignment horizontal="left" vertical="center"/>
    </xf>
    <xf numFmtId="165" fontId="4" fillId="0" borderId="24" xfId="2" applyFont="1" applyBorder="1" applyAlignment="1">
      <alignment vertical="center"/>
    </xf>
    <xf numFmtId="165" fontId="6" fillId="2" borderId="15" xfId="2" applyFont="1" applyFill="1" applyBorder="1" applyAlignment="1">
      <alignment horizontal="center" vertical="center"/>
    </xf>
    <xf numFmtId="165" fontId="15" fillId="5" borderId="7" xfId="2" applyFont="1" applyFill="1" applyBorder="1" applyAlignment="1" applyProtection="1">
      <alignment vertical="center"/>
      <protection locked="0"/>
    </xf>
    <xf numFmtId="165" fontId="0" fillId="0" borderId="7" xfId="2" applyFont="1" applyBorder="1" applyAlignment="1">
      <alignment horizontal="center"/>
    </xf>
    <xf numFmtId="165" fontId="15" fillId="5" borderId="7" xfId="2" applyFont="1" applyFill="1" applyBorder="1" applyAlignment="1" applyProtection="1">
      <alignment horizontal="center" vertical="center"/>
      <protection locked="0"/>
    </xf>
    <xf numFmtId="165" fontId="27" fillId="0" borderId="7" xfId="2" applyFont="1" applyFill="1" applyBorder="1" applyAlignment="1">
      <alignment horizontal="right"/>
    </xf>
    <xf numFmtId="165" fontId="15" fillId="0" borderId="7" xfId="2" applyFont="1" applyBorder="1"/>
    <xf numFmtId="165" fontId="7" fillId="0" borderId="7" xfId="2" applyFont="1" applyBorder="1"/>
    <xf numFmtId="165" fontId="56" fillId="0" borderId="7" xfId="2" applyFont="1" applyBorder="1"/>
    <xf numFmtId="165" fontId="11" fillId="0" borderId="7" xfId="2" applyFont="1" applyBorder="1" applyAlignment="1">
      <alignment horizontal="left" vertical="center" indent="1"/>
    </xf>
    <xf numFmtId="165" fontId="0" fillId="0" borderId="7" xfId="2" applyFont="1" applyBorder="1"/>
    <xf numFmtId="165" fontId="14" fillId="3" borderId="18" xfId="2" applyFont="1" applyFill="1" applyBorder="1" applyAlignment="1">
      <alignment horizontal="left" vertical="center" indent="1"/>
    </xf>
    <xf numFmtId="165" fontId="14" fillId="3" borderId="8" xfId="2" applyFont="1" applyFill="1" applyBorder="1" applyAlignment="1">
      <alignment horizontal="left" vertical="center" indent="1"/>
    </xf>
    <xf numFmtId="165" fontId="14" fillId="3" borderId="0" xfId="2" applyFont="1" applyFill="1" applyAlignment="1">
      <alignment horizontal="left" vertical="center" indent="1"/>
    </xf>
    <xf numFmtId="165" fontId="4" fillId="0" borderId="18" xfId="2" applyFont="1" applyBorder="1" applyAlignment="1" applyProtection="1">
      <alignment vertical="center"/>
      <protection locked="0"/>
    </xf>
    <xf numFmtId="165" fontId="4" fillId="0" borderId="0" xfId="2" applyFont="1" applyAlignment="1" applyProtection="1">
      <alignment vertical="center"/>
      <protection locked="0"/>
    </xf>
    <xf numFmtId="165" fontId="15" fillId="0" borderId="0" xfId="2" applyFont="1" applyAlignment="1">
      <alignment vertical="center"/>
    </xf>
    <xf numFmtId="165" fontId="16" fillId="0" borderId="0" xfId="2" applyFont="1"/>
    <xf numFmtId="0" fontId="13" fillId="0" borderId="24" xfId="2" applyNumberFormat="1" applyFont="1" applyBorder="1" applyAlignment="1" applyProtection="1">
      <alignment horizontal="left" vertical="center"/>
      <protection locked="0"/>
    </xf>
    <xf numFmtId="43" fontId="15" fillId="5" borderId="7" xfId="0" applyNumberFormat="1" applyFont="1" applyFill="1" applyBorder="1" applyAlignment="1">
      <alignment vertical="center"/>
    </xf>
    <xf numFmtId="170" fontId="15" fillId="5" borderId="7" xfId="0" applyNumberFormat="1" applyFont="1" applyFill="1" applyBorder="1" applyAlignment="1">
      <alignment vertical="center"/>
    </xf>
    <xf numFmtId="170" fontId="15" fillId="0" borderId="7" xfId="47" applyNumberFormat="1" applyFont="1" applyBorder="1" applyAlignment="1">
      <alignment horizontal="center"/>
    </xf>
    <xf numFmtId="170" fontId="15" fillId="5" borderId="7" xfId="47" applyNumberFormat="1" applyFont="1" applyFill="1" applyBorder="1"/>
    <xf numFmtId="167" fontId="11" fillId="0" borderId="12" xfId="0" applyNumberFormat="1" applyFont="1" applyBorder="1" applyAlignment="1">
      <alignment vertical="center"/>
    </xf>
    <xf numFmtId="0" fontId="33" fillId="0" borderId="7" xfId="0" applyFont="1" applyBorder="1" applyAlignment="1">
      <alignment horizontal="center"/>
    </xf>
    <xf numFmtId="170" fontId="15" fillId="5" borderId="7" xfId="2" applyNumberFormat="1" applyFont="1" applyFill="1" applyBorder="1"/>
    <xf numFmtId="170" fontId="27" fillId="5" borderId="7" xfId="2" applyNumberFormat="1" applyFont="1" applyFill="1" applyBorder="1" applyAlignment="1">
      <alignment horizontal="right"/>
    </xf>
    <xf numFmtId="170" fontId="15" fillId="5" borderId="7" xfId="7" applyNumberFormat="1" applyFont="1" applyFill="1" applyBorder="1" applyAlignment="1">
      <alignment horizontal="right"/>
    </xf>
    <xf numFmtId="3" fontId="11" fillId="0" borderId="7" xfId="0" applyNumberFormat="1" applyFont="1" applyBorder="1" applyAlignment="1">
      <alignment vertical="center" wrapText="1"/>
    </xf>
    <xf numFmtId="0" fontId="0" fillId="0" borderId="34" xfId="0" applyBorder="1" applyAlignment="1">
      <alignment horizontal="center"/>
    </xf>
    <xf numFmtId="170" fontId="15" fillId="0" borderId="7" xfId="2" applyNumberFormat="1" applyFont="1" applyBorder="1" applyAlignment="1">
      <alignment horizontal="center"/>
    </xf>
    <xf numFmtId="170" fontId="15" fillId="5" borderId="7" xfId="0" applyNumberFormat="1" applyFont="1" applyFill="1" applyBorder="1"/>
    <xf numFmtId="167" fontId="44" fillId="0" borderId="20" xfId="0" applyNumberFormat="1" applyFont="1" applyBorder="1" applyAlignment="1">
      <alignment vertical="center"/>
    </xf>
    <xf numFmtId="167" fontId="44" fillId="0" borderId="12" xfId="0" applyNumberFormat="1" applyFont="1" applyBorder="1" applyAlignment="1">
      <alignment vertical="center"/>
    </xf>
    <xf numFmtId="0" fontId="31" fillId="2" borderId="26" xfId="0" applyFont="1" applyFill="1" applyBorder="1" applyAlignment="1">
      <alignment horizontal="left" vertical="center"/>
    </xf>
    <xf numFmtId="0" fontId="31" fillId="2" borderId="4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left" vertical="center" indent="1"/>
    </xf>
    <xf numFmtId="0" fontId="31" fillId="2" borderId="4" xfId="0" applyFont="1" applyFill="1" applyBorder="1" applyAlignment="1">
      <alignment horizontal="left" vertical="center" indent="1"/>
    </xf>
    <xf numFmtId="0" fontId="31" fillId="2" borderId="27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indent="1"/>
    </xf>
    <xf numFmtId="0" fontId="6" fillId="2" borderId="4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0" fontId="31" fillId="2" borderId="2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29" xfId="0" applyFont="1" applyFill="1" applyBorder="1" applyAlignment="1">
      <alignment horizontal="left" vertical="center" wrapText="1"/>
    </xf>
    <xf numFmtId="0" fontId="31" fillId="2" borderId="29" xfId="0" applyFont="1" applyFill="1" applyBorder="1" applyAlignment="1">
      <alignment horizontal="left" vertical="center"/>
    </xf>
    <xf numFmtId="15" fontId="36" fillId="6" borderId="2" xfId="0" applyNumberFormat="1" applyFont="1" applyFill="1" applyBorder="1" applyAlignment="1">
      <alignment horizontal="center" vertical="center"/>
    </xf>
    <xf numFmtId="0" fontId="36" fillId="6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32" fillId="5" borderId="2" xfId="0" applyFont="1" applyFill="1" applyBorder="1" applyAlignment="1">
      <alignment horizontal="center" vertical="center"/>
    </xf>
    <xf numFmtId="0" fontId="32" fillId="5" borderId="3" xfId="0" applyFont="1" applyFill="1" applyBorder="1" applyAlignment="1">
      <alignment horizontal="center" vertical="center"/>
    </xf>
  </cellXfs>
  <cellStyles count="48">
    <cellStyle name="Comma" xfId="2" builtinId="3"/>
    <cellStyle name="Comma 2" xfId="7" xr:uid="{00000000-0005-0000-0000-000002000000}"/>
    <cellStyle name="Comma 2 2" xfId="16" xr:uid="{00000000-0005-0000-0000-000003000000}"/>
    <cellStyle name="Comma 2 2 2" xfId="44" xr:uid="{454EA328-994C-4743-90E8-D773709B37A1}"/>
    <cellStyle name="Comma 2 3" xfId="24" xr:uid="{00000000-0005-0000-0000-000004000000}"/>
    <cellStyle name="Comma 2 4" xfId="30" xr:uid="{7B0E163F-B0D9-4075-B09C-EC408CB070A7}"/>
    <cellStyle name="Comma 2 5" xfId="33" xr:uid="{CCC0BF61-A2FD-4E1A-8D4C-6C4F226CCFBA}"/>
    <cellStyle name="Comma 2 6" xfId="36" xr:uid="{DCFF1682-52A4-49EE-A1FA-1755E7D41AC9}"/>
    <cellStyle name="Comma 2 7" xfId="39" xr:uid="{7671CFB6-AA31-4F15-8BCF-F684B6536F3F}"/>
    <cellStyle name="Comma 2 8" xfId="42" xr:uid="{748FD6C2-F5A3-4B68-8850-A574543FF273}"/>
    <cellStyle name="Comma 3" xfId="1" xr:uid="{00000000-0005-0000-0000-000005000000}"/>
    <cellStyle name="Comma 3 2" xfId="9" xr:uid="{00000000-0005-0000-0000-000006000000}"/>
    <cellStyle name="Comma 3 2 2" xfId="17" xr:uid="{00000000-0005-0000-0000-000007000000}"/>
    <cellStyle name="Comma 3 2 2 2" xfId="45" xr:uid="{6FA6A4D6-E3AF-4BED-A0E2-1106372D1F16}"/>
    <cellStyle name="Comma 3 2 3" xfId="31" xr:uid="{9B22E873-5F10-466F-BA31-0F686846DD4A}"/>
    <cellStyle name="Comma 3 2 4" xfId="34" xr:uid="{C2044C71-2128-45CC-B693-179BF405004F}"/>
    <cellStyle name="Comma 3 2 5" xfId="40" xr:uid="{78692C98-04D5-4670-90D6-8E414ADE3744}"/>
    <cellStyle name="Comma 3 2 6" xfId="43" xr:uid="{1660219D-6099-4026-ADF2-87B680A0B8DE}"/>
    <cellStyle name="Comma 3 3" xfId="12" xr:uid="{00000000-0005-0000-0000-000008000000}"/>
    <cellStyle name="Comma 3 3 2" xfId="19" xr:uid="{00000000-0005-0000-0000-000009000000}"/>
    <cellStyle name="Comma 3 3 2 2" xfId="46" xr:uid="{09FC03F6-7E80-4840-A128-9B3E1F8147FD}"/>
    <cellStyle name="Comma 4" xfId="22" xr:uid="{00000000-0005-0000-0000-00000A000000}"/>
    <cellStyle name="Comma 5" xfId="29" xr:uid="{88494DB3-B7CA-4A31-8014-212AAD902CAA}"/>
    <cellStyle name="Comma 6" xfId="32" xr:uid="{FD4EDF11-0877-4AD4-926B-F922DF1C527E}"/>
    <cellStyle name="Comma 7" xfId="35" xr:uid="{B897E1B8-01CD-4429-87AF-D8634D092D72}"/>
    <cellStyle name="Comma 8" xfId="37" xr:uid="{96A3AB90-E533-4E44-B6D9-01584AD0A9D6}"/>
    <cellStyle name="Comma 9" xfId="38" xr:uid="{46773106-C319-48DD-85AA-D60CC86D4B2B}"/>
    <cellStyle name="Currency" xfId="47" builtinId="4"/>
    <cellStyle name="Currency 2" xfId="8" xr:uid="{00000000-0005-0000-0000-00000B000000}"/>
    <cellStyle name="Hyperlink 2" xfId="26" xr:uid="{00000000-0005-0000-0000-00000C000000}"/>
    <cellStyle name="Normal" xfId="0" builtinId="0"/>
    <cellStyle name="Normal 2" xfId="4" xr:uid="{00000000-0005-0000-0000-00000E000000}"/>
    <cellStyle name="Normal 2 2" xfId="10" xr:uid="{00000000-0005-0000-0000-00000F000000}"/>
    <cellStyle name="Normal 2 2 2" xfId="18" xr:uid="{00000000-0005-0000-0000-000010000000}"/>
    <cellStyle name="Normal 2 3" xfId="13" xr:uid="{00000000-0005-0000-0000-000011000000}"/>
    <cellStyle name="Normal 2 3 2" xfId="20" xr:uid="{00000000-0005-0000-0000-000012000000}"/>
    <cellStyle name="Normal 2 4" xfId="15" xr:uid="{00000000-0005-0000-0000-000013000000}"/>
    <cellStyle name="Normal 3" xfId="14" xr:uid="{00000000-0005-0000-0000-000014000000}"/>
    <cellStyle name="Normal 4" xfId="5" xr:uid="{00000000-0005-0000-0000-000015000000}"/>
    <cellStyle name="Normal 5" xfId="21" xr:uid="{00000000-0005-0000-0000-000016000000}"/>
    <cellStyle name="Normal 6" xfId="23" xr:uid="{00000000-0005-0000-0000-000017000000}"/>
    <cellStyle name="Normal 7" xfId="25" xr:uid="{00000000-0005-0000-0000-000018000000}"/>
    <cellStyle name="Normal 8" xfId="28" xr:uid="{C0252A5E-6FC8-452B-9D5E-FD60EEF5292D}"/>
    <cellStyle name="Normal 9" xfId="41" xr:uid="{FA9041F6-3917-4603-9C77-50DDF24C887A}"/>
    <cellStyle name="Normal_090608 ARRZ - CT Ang" xfId="27" xr:uid="{387A19C1-73A2-43E0-B21D-176DD877100B}"/>
    <cellStyle name="Note" xfId="3" builtinId="10"/>
    <cellStyle name="Percent 2" xfId="11" xr:uid="{00000000-0005-0000-0000-00001B000000}"/>
    <cellStyle name="Percent 3" xfId="6" xr:uid="{00000000-0005-0000-0000-00001C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23812</xdr:rowOff>
    </xdr:from>
    <xdr:to>
      <xdr:col>7</xdr:col>
      <xdr:colOff>0</xdr:colOff>
      <xdr:row>40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27A8AA5-D650-426B-9890-B364F663C4D0}"/>
            </a:ext>
          </a:extLst>
        </xdr:cNvPr>
        <xdr:cNvCxnSpPr/>
      </xdr:nvCxnSpPr>
      <xdr:spPr>
        <a:xfrm flipH="1">
          <a:off x="6381750" y="4824412"/>
          <a:ext cx="1581150" cy="35766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571499</xdr:colOff>
      <xdr:row>4</xdr:row>
      <xdr:rowOff>11430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5F81C5-DD86-457A-83C1-EEB83A4203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00" r="776" b="84848"/>
        <a:stretch/>
      </xdr:blipFill>
      <xdr:spPr>
        <a:xfrm>
          <a:off x="0" y="0"/>
          <a:ext cx="8534399" cy="1040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23812</xdr:rowOff>
    </xdr:from>
    <xdr:to>
      <xdr:col>7</xdr:col>
      <xdr:colOff>0</xdr:colOff>
      <xdr:row>40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6381750" y="4822031"/>
          <a:ext cx="1583531" cy="361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571499</xdr:colOff>
      <xdr:row>4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A11A9-E439-4C2E-9391-09D19A9076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00" r="776" b="84848"/>
        <a:stretch/>
      </xdr:blipFill>
      <xdr:spPr>
        <a:xfrm>
          <a:off x="0" y="0"/>
          <a:ext cx="8734424" cy="10210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22</xdr:row>
      <xdr:rowOff>57150</xdr:rowOff>
    </xdr:from>
    <xdr:to>
      <xdr:col>6</xdr:col>
      <xdr:colOff>1485900</xdr:colOff>
      <xdr:row>37</xdr:row>
      <xdr:rowOff>57150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5838825" y="4772025"/>
          <a:ext cx="1409700" cy="3600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1085850</xdr:colOff>
      <xdr:row>4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B72099-9F83-D6F0-45C0-8284B7490C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00" r="776" b="84848"/>
        <a:stretch/>
      </xdr:blipFill>
      <xdr:spPr>
        <a:xfrm>
          <a:off x="0" y="0"/>
          <a:ext cx="7178040" cy="10210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64577</xdr:colOff>
      <xdr:row>22</xdr:row>
      <xdr:rowOff>32288</xdr:rowOff>
    </xdr:from>
    <xdr:to>
      <xdr:col>6</xdr:col>
      <xdr:colOff>1275382</xdr:colOff>
      <xdr:row>37</xdr:row>
      <xdr:rowOff>113009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H="1">
          <a:off x="6594852" y="4802860"/>
          <a:ext cx="1210805" cy="29866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6457</xdr:rowOff>
    </xdr:from>
    <xdr:to>
      <xdr:col>6</xdr:col>
      <xdr:colOff>1059050</xdr:colOff>
      <xdr:row>4</xdr:row>
      <xdr:rowOff>23284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F4E96B-F462-BEFB-064C-B062D239B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57"/>
          <a:ext cx="7774982" cy="10242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62802</xdr:colOff>
      <xdr:row>22</xdr:row>
      <xdr:rowOff>0</xdr:rowOff>
    </xdr:from>
    <xdr:to>
      <xdr:col>6</xdr:col>
      <xdr:colOff>1276978</xdr:colOff>
      <xdr:row>34</xdr:row>
      <xdr:rowOff>167473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6573297" y="4741566"/>
          <a:ext cx="1214176" cy="25225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1088570</xdr:colOff>
      <xdr:row>4</xdr:row>
      <xdr:rowOff>2635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441876-766F-CDF3-9191-1CB6D5253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9098" cy="10242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22</xdr:row>
      <xdr:rowOff>0</xdr:rowOff>
    </xdr:from>
    <xdr:to>
      <xdr:col>6</xdr:col>
      <xdr:colOff>0</xdr:colOff>
      <xdr:row>36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614A8AF-7528-4DA7-97E6-3FC917F34245}"/>
            </a:ext>
          </a:extLst>
        </xdr:cNvPr>
        <xdr:cNvCxnSpPr/>
      </xdr:nvCxnSpPr>
      <xdr:spPr>
        <a:xfrm flipH="1">
          <a:off x="6829425" y="4772025"/>
          <a:ext cx="1304925" cy="2800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558800</xdr:colOff>
      <xdr:row>4</xdr:row>
      <xdr:rowOff>20917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C52206-9CC1-1370-A2E6-08F7C8C8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39300" cy="1024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22</xdr:row>
      <xdr:rowOff>0</xdr:rowOff>
    </xdr:from>
    <xdr:to>
      <xdr:col>6</xdr:col>
      <xdr:colOff>1514475</xdr:colOff>
      <xdr:row>36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6115050" y="4762500"/>
          <a:ext cx="1295400" cy="2828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564696</xdr:colOff>
      <xdr:row>4</xdr:row>
      <xdr:rowOff>10485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D23087-441F-D4DB-D896-7E9F21BD3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79946" cy="10242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100853</xdr:colOff>
      <xdr:row>22</xdr:row>
      <xdr:rowOff>145676</xdr:rowOff>
    </xdr:from>
    <xdr:to>
      <xdr:col>6</xdr:col>
      <xdr:colOff>1232647</xdr:colOff>
      <xdr:row>37</xdr:row>
      <xdr:rowOff>134470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6208059" y="4919382"/>
          <a:ext cx="1131794" cy="29583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564776</xdr:colOff>
      <xdr:row>4</xdr:row>
      <xdr:rowOff>20170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58B8B4-77D5-DE48-EAEC-6F6FF414C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84776" cy="10242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22</xdr:row>
      <xdr:rowOff>0</xdr:rowOff>
    </xdr:from>
    <xdr:to>
      <xdr:col>6</xdr:col>
      <xdr:colOff>1514475</xdr:colOff>
      <xdr:row>36</xdr:row>
      <xdr:rowOff>161925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6115050" y="4762500"/>
          <a:ext cx="1295400" cy="2828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610566</xdr:colOff>
      <xdr:row>0</xdr:row>
      <xdr:rowOff>10732</xdr:rowOff>
    </xdr:from>
    <xdr:to>
      <xdr:col>7</xdr:col>
      <xdr:colOff>176357</xdr:colOff>
      <xdr:row>3</xdr:row>
      <xdr:rowOff>159746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67930F-F3B2-4F4A-B949-58DFDF67F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00" r="776" b="84848"/>
        <a:stretch/>
      </xdr:blipFill>
      <xdr:spPr>
        <a:xfrm>
          <a:off x="610566" y="10732"/>
          <a:ext cx="7180425" cy="980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367A6C-7BE5-4E28-B5C6-C65E93BBFD69}">
  <we:reference id="WA200004935" version="6.0.0.0" store="Omex" storeType="OMEX"/>
  <we:alternateReferences>
    <we:reference id="WA200004935" version="6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F52E-307B-4FCC-9CB7-6841656E5437}">
  <sheetPr>
    <pageSetUpPr fitToPage="1"/>
  </sheetPr>
  <dimension ref="A1:H59"/>
  <sheetViews>
    <sheetView tabSelected="1" view="pageBreakPreview" zoomScale="80" zoomScaleNormal="80" zoomScaleSheetLayoutView="80" workbookViewId="0">
      <selection activeCell="A15" sqref="A15:C15"/>
    </sheetView>
  </sheetViews>
  <sheetFormatPr defaultRowHeight="14.5" x14ac:dyDescent="0.35"/>
  <cols>
    <col min="1" max="1" width="51.7265625" customWidth="1"/>
    <col min="2" max="2" width="9.81640625" customWidth="1"/>
    <col min="3" max="3" width="9.1796875" style="82" customWidth="1"/>
    <col min="4" max="4" width="9.1796875" hidden="1" customWidth="1"/>
    <col min="6" max="6" width="15.81640625" customWidth="1"/>
    <col min="7" max="7" width="23.7265625" style="54" customWidth="1"/>
  </cols>
  <sheetData>
    <row r="1" spans="1:7" ht="36.5" x14ac:dyDescent="0.35">
      <c r="A1" s="146"/>
      <c r="B1" s="147"/>
      <c r="C1" s="148"/>
      <c r="D1" s="149"/>
      <c r="E1" s="150"/>
      <c r="F1" s="151"/>
      <c r="G1" s="152"/>
    </row>
    <row r="2" spans="1:7" x14ac:dyDescent="0.35">
      <c r="A2" s="153"/>
      <c r="B2" s="4"/>
      <c r="C2" s="154"/>
      <c r="D2" s="4"/>
      <c r="E2" s="5"/>
      <c r="F2" s="6"/>
      <c r="G2" s="155"/>
    </row>
    <row r="3" spans="1:7" x14ac:dyDescent="0.35">
      <c r="A3" s="153"/>
      <c r="B3" s="4"/>
      <c r="C3" s="154"/>
      <c r="D3" s="4"/>
      <c r="E3" s="5"/>
      <c r="F3" s="6"/>
      <c r="G3" s="155"/>
    </row>
    <row r="4" spans="1:7" x14ac:dyDescent="0.35">
      <c r="A4" s="153"/>
      <c r="B4" s="4"/>
      <c r="C4" s="154"/>
      <c r="D4" s="4"/>
      <c r="E4" s="5"/>
      <c r="F4" s="6"/>
      <c r="G4" s="155"/>
    </row>
    <row r="5" spans="1:7" ht="34.5" x14ac:dyDescent="0.35">
      <c r="A5" s="153"/>
      <c r="B5" s="4"/>
      <c r="C5" s="154"/>
      <c r="D5" s="4"/>
      <c r="F5" s="7" t="s">
        <v>0</v>
      </c>
      <c r="G5" s="156" t="s">
        <v>1</v>
      </c>
    </row>
    <row r="6" spans="1:7" x14ac:dyDescent="0.35">
      <c r="A6" s="153"/>
      <c r="B6" s="8"/>
      <c r="C6" s="157"/>
      <c r="D6" s="4"/>
      <c r="E6" s="334" t="s">
        <v>94</v>
      </c>
      <c r="F6" s="334"/>
      <c r="G6" s="158" t="s">
        <v>3</v>
      </c>
    </row>
    <row r="7" spans="1:7" x14ac:dyDescent="0.35">
      <c r="A7" s="159"/>
      <c r="B7" s="5"/>
      <c r="C7" s="160"/>
      <c r="D7" s="4"/>
      <c r="E7" s="335"/>
      <c r="F7" s="336"/>
      <c r="G7" s="250">
        <f ca="1">TODAY()</f>
        <v>46015</v>
      </c>
    </row>
    <row r="8" spans="1:7" x14ac:dyDescent="0.35">
      <c r="A8" s="153"/>
      <c r="B8" s="4"/>
      <c r="C8" s="154"/>
      <c r="D8" s="4"/>
      <c r="E8" s="337" t="s">
        <v>19</v>
      </c>
      <c r="F8" s="338"/>
      <c r="G8" s="158" t="s">
        <v>4</v>
      </c>
    </row>
    <row r="9" spans="1:7" x14ac:dyDescent="0.35">
      <c r="A9" s="153"/>
      <c r="B9" s="5"/>
      <c r="C9" s="160"/>
      <c r="D9" s="4"/>
      <c r="E9" s="339" t="s">
        <v>110</v>
      </c>
      <c r="F9" s="340"/>
      <c r="G9" s="161" t="s">
        <v>16</v>
      </c>
    </row>
    <row r="10" spans="1:7" x14ac:dyDescent="0.35">
      <c r="B10" s="4"/>
      <c r="C10" s="154"/>
      <c r="D10" s="5"/>
      <c r="E10" s="5"/>
      <c r="F10" s="5"/>
      <c r="G10" s="162"/>
    </row>
    <row r="11" spans="1:7" x14ac:dyDescent="0.35">
      <c r="A11" s="153"/>
      <c r="B11" s="4"/>
      <c r="C11" s="154"/>
      <c r="D11" s="5"/>
      <c r="E11" s="5"/>
      <c r="F11" s="5"/>
      <c r="G11" s="162"/>
    </row>
    <row r="12" spans="1:7" x14ac:dyDescent="0.35">
      <c r="A12" s="159"/>
      <c r="B12" s="5"/>
      <c r="C12" s="160"/>
      <c r="D12" s="5"/>
      <c r="G12" s="155"/>
    </row>
    <row r="13" spans="1:7" x14ac:dyDescent="0.35">
      <c r="A13" s="331" t="s">
        <v>109</v>
      </c>
      <c r="B13" s="332"/>
      <c r="C13" s="333"/>
      <c r="E13" s="341" t="s">
        <v>78</v>
      </c>
      <c r="F13" s="342"/>
      <c r="G13" s="343"/>
    </row>
    <row r="14" spans="1:7" x14ac:dyDescent="0.35">
      <c r="A14" s="331" t="s">
        <v>120</v>
      </c>
      <c r="B14" s="332"/>
      <c r="C14" s="333"/>
      <c r="E14" s="11"/>
      <c r="F14" s="16" t="s">
        <v>80</v>
      </c>
      <c r="G14" s="163"/>
    </row>
    <row r="15" spans="1:7" x14ac:dyDescent="0.35">
      <c r="A15" s="331" t="s">
        <v>121</v>
      </c>
      <c r="B15" s="332"/>
      <c r="C15" s="333"/>
      <c r="E15" s="12"/>
      <c r="F15" s="16" t="s">
        <v>17</v>
      </c>
      <c r="G15" s="164">
        <v>200163666</v>
      </c>
    </row>
    <row r="16" spans="1:7" x14ac:dyDescent="0.35">
      <c r="E16" s="4"/>
      <c r="F16" s="14" t="s">
        <v>31</v>
      </c>
      <c r="G16" s="166">
        <v>712222</v>
      </c>
    </row>
    <row r="17" spans="1:8" x14ac:dyDescent="0.35">
      <c r="A17" s="165"/>
      <c r="B17" s="4"/>
      <c r="C17" s="154"/>
      <c r="E17" s="4"/>
      <c r="F17" s="14" t="s">
        <v>33</v>
      </c>
      <c r="G17" s="162"/>
    </row>
    <row r="18" spans="1:8" x14ac:dyDescent="0.35">
      <c r="A18" s="165"/>
      <c r="B18" s="4"/>
      <c r="C18" s="154"/>
      <c r="E18" s="4"/>
      <c r="F18" s="14" t="s">
        <v>117</v>
      </c>
      <c r="G18" s="162"/>
    </row>
    <row r="19" spans="1:8" x14ac:dyDescent="0.35">
      <c r="A19" s="167"/>
      <c r="B19" s="4"/>
      <c r="C19" s="154"/>
      <c r="E19" s="4"/>
      <c r="G19" s="162"/>
    </row>
    <row r="20" spans="1:8" x14ac:dyDescent="0.35">
      <c r="A20" s="153"/>
      <c r="B20" s="4"/>
      <c r="C20" s="154"/>
      <c r="D20" s="5"/>
      <c r="E20" s="5"/>
      <c r="F20" s="5"/>
      <c r="G20" s="162"/>
    </row>
    <row r="21" spans="1:8" x14ac:dyDescent="0.35">
      <c r="A21" s="142" t="s">
        <v>6</v>
      </c>
      <c r="B21" s="142" t="s">
        <v>12</v>
      </c>
      <c r="C21" s="144" t="s">
        <v>13</v>
      </c>
      <c r="D21" s="144" t="s">
        <v>13</v>
      </c>
      <c r="E21" s="144" t="s">
        <v>7</v>
      </c>
      <c r="F21" s="144" t="s">
        <v>18</v>
      </c>
      <c r="G21" s="145" t="s">
        <v>8</v>
      </c>
    </row>
    <row r="22" spans="1:8" ht="15.5" x14ac:dyDescent="0.35">
      <c r="A22" s="325"/>
      <c r="B22" s="262"/>
      <c r="C22" s="255"/>
      <c r="D22" s="256"/>
      <c r="E22" s="255"/>
      <c r="F22" s="257"/>
      <c r="G22" s="317">
        <f>SUM(F23:F39)</f>
        <v>0</v>
      </c>
      <c r="H22" s="175"/>
    </row>
    <row r="23" spans="1:8" ht="15.5" x14ac:dyDescent="0.35">
      <c r="A23" s="259"/>
      <c r="B23" s="244"/>
      <c r="C23" s="326"/>
      <c r="D23" s="66"/>
      <c r="E23" s="244"/>
      <c r="F23" s="318"/>
      <c r="G23" s="264"/>
      <c r="H23" s="175"/>
    </row>
    <row r="24" spans="1:8" ht="15.5" x14ac:dyDescent="0.35">
      <c r="A24" s="265"/>
      <c r="B24" s="244"/>
      <c r="E24" s="244"/>
      <c r="F24" s="318"/>
      <c r="G24" s="264"/>
      <c r="H24" s="175"/>
    </row>
    <row r="25" spans="1:8" ht="15.5" x14ac:dyDescent="0.35">
      <c r="A25" s="266"/>
      <c r="B25" s="244"/>
      <c r="C25" s="244"/>
      <c r="D25" s="66"/>
      <c r="E25" s="244"/>
      <c r="F25" s="318"/>
      <c r="G25" s="264"/>
      <c r="H25" s="175"/>
    </row>
    <row r="26" spans="1:8" ht="15.5" x14ac:dyDescent="0.35">
      <c r="A26" s="268"/>
      <c r="B26" s="244"/>
      <c r="C26" s="244"/>
      <c r="D26" s="289"/>
      <c r="E26" s="244"/>
      <c r="F26" s="318"/>
      <c r="G26" s="258"/>
      <c r="H26" s="175"/>
    </row>
    <row r="27" spans="1:8" ht="15.5" x14ac:dyDescent="0.35">
      <c r="A27" s="261"/>
      <c r="B27" s="244"/>
      <c r="C27" s="244"/>
      <c r="D27" s="256"/>
      <c r="E27" s="244"/>
      <c r="F27" s="319"/>
      <c r="G27" s="258"/>
      <c r="H27" s="175"/>
    </row>
    <row r="28" spans="1:8" ht="15.5" x14ac:dyDescent="0.35">
      <c r="A28" s="276"/>
      <c r="B28" s="244"/>
      <c r="C28" s="244"/>
      <c r="D28" s="256"/>
      <c r="E28" s="244"/>
      <c r="F28" s="322"/>
      <c r="G28" s="258"/>
      <c r="H28" s="175"/>
    </row>
    <row r="29" spans="1:8" ht="15.5" x14ac:dyDescent="0.35">
      <c r="A29" s="277"/>
      <c r="B29" s="244"/>
      <c r="C29" s="244"/>
      <c r="D29" s="256"/>
      <c r="E29" s="244"/>
      <c r="F29" s="322"/>
      <c r="G29" s="258"/>
      <c r="H29" s="175"/>
    </row>
    <row r="30" spans="1:8" ht="15.5" x14ac:dyDescent="0.35">
      <c r="A30" s="261"/>
      <c r="B30" s="244"/>
      <c r="C30" s="244"/>
      <c r="D30" s="279"/>
      <c r="E30" s="244"/>
      <c r="F30" s="323"/>
      <c r="G30" s="258"/>
      <c r="H30" s="175"/>
    </row>
    <row r="31" spans="1:8" ht="15.5" x14ac:dyDescent="0.35">
      <c r="A31" s="278"/>
      <c r="B31" s="244"/>
      <c r="C31" s="244"/>
      <c r="D31" s="279"/>
      <c r="E31" s="244"/>
      <c r="F31" s="324"/>
      <c r="G31" s="280"/>
      <c r="H31" s="175"/>
    </row>
    <row r="32" spans="1:8" ht="15.5" x14ac:dyDescent="0.35">
      <c r="A32" s="278"/>
      <c r="B32" s="244"/>
      <c r="C32" s="244"/>
      <c r="D32" s="279"/>
      <c r="E32" s="244"/>
      <c r="F32" s="324"/>
      <c r="G32" s="280"/>
      <c r="H32" s="175"/>
    </row>
    <row r="33" spans="1:8" ht="15.5" x14ac:dyDescent="0.35">
      <c r="A33" s="273"/>
      <c r="B33" s="282"/>
      <c r="C33" s="260"/>
      <c r="D33" s="272"/>
      <c r="E33" s="262"/>
      <c r="F33" s="275"/>
      <c r="G33" s="280"/>
      <c r="H33" s="175"/>
    </row>
    <row r="34" spans="1:8" ht="15.5" x14ac:dyDescent="0.35">
      <c r="A34" s="278"/>
      <c r="B34" s="262"/>
      <c r="C34" s="279"/>
      <c r="D34" s="283"/>
      <c r="E34" s="260"/>
      <c r="F34" s="275"/>
      <c r="G34" s="280"/>
      <c r="H34" s="175"/>
    </row>
    <row r="35" spans="1:8" ht="15.5" x14ac:dyDescent="0.35">
      <c r="A35" s="272"/>
      <c r="B35" s="262"/>
      <c r="C35" s="282"/>
      <c r="D35" s="262"/>
      <c r="E35" s="262"/>
      <c r="F35" s="275"/>
      <c r="G35" s="280"/>
      <c r="H35" s="175"/>
    </row>
    <row r="36" spans="1:8" ht="15.5" x14ac:dyDescent="0.35">
      <c r="A36" s="272"/>
      <c r="B36" s="262"/>
      <c r="C36" s="282"/>
      <c r="D36" s="262"/>
      <c r="E36" s="262"/>
      <c r="F36" s="275"/>
      <c r="G36" s="280"/>
      <c r="H36" s="175"/>
    </row>
    <row r="37" spans="1:8" ht="15.5" x14ac:dyDescent="0.35">
      <c r="A37" s="272"/>
      <c r="B37" s="262"/>
      <c r="C37" s="282"/>
      <c r="D37" s="262"/>
      <c r="E37" s="262"/>
      <c r="F37" s="275"/>
      <c r="G37" s="280"/>
      <c r="H37" s="175"/>
    </row>
    <row r="38" spans="1:8" ht="15.5" x14ac:dyDescent="0.35">
      <c r="A38" s="272"/>
      <c r="B38" s="262"/>
      <c r="C38" s="282"/>
      <c r="D38" s="262"/>
      <c r="E38" s="262"/>
      <c r="F38" s="275"/>
      <c r="G38" s="280"/>
      <c r="H38" s="175"/>
    </row>
    <row r="39" spans="1:8" ht="15.5" x14ac:dyDescent="0.35">
      <c r="A39" s="272"/>
      <c r="B39" s="262"/>
      <c r="C39" s="282"/>
      <c r="D39" s="262"/>
      <c r="E39" s="262"/>
      <c r="F39" s="275"/>
      <c r="G39" s="280"/>
      <c r="H39" s="175"/>
    </row>
    <row r="40" spans="1:8" ht="15.5" x14ac:dyDescent="0.35">
      <c r="A40" s="272"/>
      <c r="B40" s="262"/>
      <c r="C40" s="282"/>
      <c r="D40" s="262"/>
      <c r="E40" s="279"/>
      <c r="F40" s="284"/>
      <c r="G40" s="280"/>
      <c r="H40" s="175"/>
    </row>
    <row r="41" spans="1:8" ht="18" x14ac:dyDescent="0.35">
      <c r="A41" s="228"/>
      <c r="B41" s="228"/>
      <c r="C41" s="229"/>
      <c r="D41" s="230"/>
      <c r="E41" s="231" t="s">
        <v>9</v>
      </c>
      <c r="F41" s="231"/>
      <c r="G41" s="317">
        <f>SUM(G22:G35)</f>
        <v>0</v>
      </c>
      <c r="H41" s="175"/>
    </row>
    <row r="42" spans="1:8" ht="16" thickBot="1" x14ac:dyDescent="0.4">
      <c r="A42" s="153"/>
      <c r="B42" s="4"/>
      <c r="C42" s="154"/>
      <c r="D42" s="6"/>
      <c r="E42" s="38"/>
      <c r="G42" s="168"/>
    </row>
    <row r="43" spans="1:8" ht="19" thickBot="1" x14ac:dyDescent="0.4">
      <c r="A43" s="153"/>
      <c r="B43" s="4"/>
      <c r="C43" s="154"/>
      <c r="D43" s="6"/>
      <c r="E43" s="36" t="s">
        <v>10</v>
      </c>
      <c r="F43" s="37" t="s">
        <v>34</v>
      </c>
      <c r="G43" s="320">
        <f>G41</f>
        <v>0</v>
      </c>
    </row>
    <row r="44" spans="1:8" ht="16" thickBot="1" x14ac:dyDescent="0.4">
      <c r="A44" s="153"/>
      <c r="B44" s="4"/>
      <c r="C44" s="154"/>
      <c r="D44" s="6"/>
      <c r="E44" s="35"/>
      <c r="F44" s="25"/>
      <c r="G44" s="155"/>
    </row>
    <row r="45" spans="1:8" ht="18.5" x14ac:dyDescent="0.35">
      <c r="A45" s="87" t="s">
        <v>20</v>
      </c>
      <c r="B45" s="88" t="s">
        <v>21</v>
      </c>
      <c r="C45" s="109"/>
      <c r="D45" s="89"/>
      <c r="E45" s="90"/>
      <c r="F45" s="90"/>
      <c r="G45" s="91"/>
    </row>
    <row r="46" spans="1:8" ht="18.5" x14ac:dyDescent="0.35">
      <c r="A46" s="92" t="s">
        <v>22</v>
      </c>
      <c r="B46" s="76" t="s">
        <v>38</v>
      </c>
      <c r="C46" s="102"/>
      <c r="D46" s="4"/>
      <c r="E46" s="84"/>
      <c r="F46" s="84"/>
      <c r="G46" s="93"/>
    </row>
    <row r="47" spans="1:8" ht="18.5" x14ac:dyDescent="0.35">
      <c r="A47" s="92" t="s">
        <v>24</v>
      </c>
      <c r="B47" s="86" t="s">
        <v>37</v>
      </c>
      <c r="C47" s="102"/>
      <c r="D47" s="4"/>
      <c r="E47" s="84"/>
      <c r="F47" s="84"/>
      <c r="G47" s="93"/>
    </row>
    <row r="48" spans="1:8" ht="18.5" x14ac:dyDescent="0.35">
      <c r="A48" s="92" t="s">
        <v>26</v>
      </c>
      <c r="B48" s="86">
        <v>3103</v>
      </c>
      <c r="C48" s="102"/>
      <c r="D48" s="4"/>
      <c r="E48" s="84"/>
      <c r="F48" s="84"/>
      <c r="G48" s="93"/>
    </row>
    <row r="49" spans="1:7" ht="18.5" x14ac:dyDescent="0.35">
      <c r="A49" s="92" t="s">
        <v>27</v>
      </c>
      <c r="B49" s="76" t="s">
        <v>28</v>
      </c>
      <c r="C49" s="102"/>
      <c r="D49" s="4"/>
      <c r="E49" s="84"/>
      <c r="F49" s="84"/>
      <c r="G49" s="93"/>
    </row>
    <row r="50" spans="1:7" ht="16" thickBot="1" x14ac:dyDescent="0.4">
      <c r="A50" s="94" t="s">
        <v>29</v>
      </c>
      <c r="B50" s="95" t="s">
        <v>30</v>
      </c>
      <c r="C50" s="110"/>
      <c r="D50" s="96"/>
      <c r="E50" s="97"/>
      <c r="F50" s="98"/>
      <c r="G50" s="99"/>
    </row>
    <row r="51" spans="1:7" x14ac:dyDescent="0.35">
      <c r="A51" s="14"/>
      <c r="B51" s="15"/>
      <c r="C51" s="80"/>
      <c r="F51" s="25"/>
    </row>
    <row r="52" spans="1:7" x14ac:dyDescent="0.35">
      <c r="A52" s="14"/>
      <c r="B52" s="31"/>
      <c r="C52" s="81"/>
      <c r="F52" s="25"/>
    </row>
    <row r="53" spans="1:7" x14ac:dyDescent="0.35">
      <c r="A53" s="31"/>
      <c r="F53" s="25"/>
    </row>
    <row r="54" spans="1:7" ht="15.5" x14ac:dyDescent="0.35">
      <c r="F54" s="35"/>
    </row>
    <row r="55" spans="1:7" x14ac:dyDescent="0.35">
      <c r="F55" s="6"/>
    </row>
    <row r="56" spans="1:7" x14ac:dyDescent="0.35">
      <c r="B56" s="43"/>
      <c r="F56" s="31"/>
    </row>
    <row r="57" spans="1:7" x14ac:dyDescent="0.35">
      <c r="B57" s="44"/>
    </row>
    <row r="59" spans="1:7" x14ac:dyDescent="0.35">
      <c r="B59" s="45"/>
    </row>
  </sheetData>
  <mergeCells count="8">
    <mergeCell ref="A14:C14"/>
    <mergeCell ref="A15:C15"/>
    <mergeCell ref="E6:F6"/>
    <mergeCell ref="E7:F7"/>
    <mergeCell ref="E8:F8"/>
    <mergeCell ref="E9:F9"/>
    <mergeCell ref="A13:C13"/>
    <mergeCell ref="E13:G13"/>
  </mergeCells>
  <conditionalFormatting sqref="B22 B25:B26">
    <cfRule type="duplicateValues" dxfId="3" priority="1"/>
  </conditionalFormatting>
  <dataValidations count="1">
    <dataValidation type="list" allowBlank="1" showInputMessage="1" showErrorMessage="1" sqref="G5" xr:uid="{39EF7BE3-33C0-4E01-9106-726394B6F065}">
      <formula1>"INVOICE,RECEIPT"</formula1>
    </dataValidation>
  </dataValidations>
  <pageMargins left="0.7" right="0.7" top="0.75" bottom="0.75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view="pageBreakPreview" zoomScale="80" zoomScaleNormal="80" zoomScaleSheetLayoutView="80" workbookViewId="0">
      <selection activeCell="A22" sqref="A22"/>
    </sheetView>
  </sheetViews>
  <sheetFormatPr defaultRowHeight="14.5" x14ac:dyDescent="0.35"/>
  <cols>
    <col min="1" max="1" width="51.7265625" customWidth="1"/>
    <col min="2" max="2" width="9.81640625" customWidth="1"/>
    <col min="3" max="3" width="9.1796875" style="82" customWidth="1"/>
    <col min="4" max="4" width="9.1796875" hidden="1" customWidth="1"/>
    <col min="6" max="6" width="15.81640625" customWidth="1"/>
    <col min="7" max="7" width="23.7265625" style="54" customWidth="1"/>
  </cols>
  <sheetData>
    <row r="1" spans="1:7" ht="36.5" x14ac:dyDescent="0.35">
      <c r="A1" s="146"/>
      <c r="B1" s="147"/>
      <c r="C1" s="148"/>
      <c r="D1" s="149"/>
      <c r="E1" s="150"/>
      <c r="F1" s="151"/>
      <c r="G1" s="152"/>
    </row>
    <row r="2" spans="1:7" x14ac:dyDescent="0.35">
      <c r="A2" s="153"/>
      <c r="B2" s="4"/>
      <c r="C2" s="154"/>
      <c r="D2" s="4"/>
      <c r="E2" s="5"/>
      <c r="F2" s="6"/>
      <c r="G2" s="155"/>
    </row>
    <row r="3" spans="1:7" x14ac:dyDescent="0.35">
      <c r="A3" s="153"/>
      <c r="B3" s="4"/>
      <c r="C3" s="154"/>
      <c r="D3" s="4"/>
      <c r="E3" s="5"/>
      <c r="F3" s="6"/>
      <c r="G3" s="155"/>
    </row>
    <row r="4" spans="1:7" x14ac:dyDescent="0.35">
      <c r="A4" s="153"/>
      <c r="B4" s="4"/>
      <c r="C4" s="154"/>
      <c r="D4" s="4"/>
      <c r="E4" s="5"/>
      <c r="F4" s="6"/>
      <c r="G4" s="155"/>
    </row>
    <row r="5" spans="1:7" ht="34.5" x14ac:dyDescent="0.35">
      <c r="A5" s="153"/>
      <c r="B5" s="4"/>
      <c r="C5" s="154"/>
      <c r="D5" s="4"/>
      <c r="F5" s="7" t="s">
        <v>0</v>
      </c>
      <c r="G5" s="156" t="s">
        <v>1</v>
      </c>
    </row>
    <row r="6" spans="1:7" x14ac:dyDescent="0.35">
      <c r="A6" s="153"/>
      <c r="B6" s="8"/>
      <c r="C6" s="157"/>
      <c r="D6" s="4"/>
      <c r="E6" s="334" t="s">
        <v>94</v>
      </c>
      <c r="F6" s="334"/>
      <c r="G6" s="158" t="s">
        <v>3</v>
      </c>
    </row>
    <row r="7" spans="1:7" x14ac:dyDescent="0.35">
      <c r="A7" s="159"/>
      <c r="B7" s="5"/>
      <c r="C7" s="160"/>
      <c r="D7" s="4"/>
      <c r="E7" s="335"/>
      <c r="F7" s="336"/>
      <c r="G7" s="250">
        <f ca="1">TODAY()</f>
        <v>46015</v>
      </c>
    </row>
    <row r="8" spans="1:7" x14ac:dyDescent="0.35">
      <c r="A8" s="153"/>
      <c r="B8" s="4"/>
      <c r="C8" s="154"/>
      <c r="D8" s="4"/>
      <c r="E8" s="337" t="s">
        <v>19</v>
      </c>
      <c r="F8" s="338"/>
      <c r="G8" s="158" t="s">
        <v>4</v>
      </c>
    </row>
    <row r="9" spans="1:7" x14ac:dyDescent="0.35">
      <c r="A9" s="153"/>
      <c r="B9" s="5"/>
      <c r="C9" s="160"/>
      <c r="D9" s="4"/>
      <c r="E9" s="339" t="s">
        <v>110</v>
      </c>
      <c r="F9" s="340"/>
      <c r="G9" s="161" t="s">
        <v>16</v>
      </c>
    </row>
    <row r="10" spans="1:7" x14ac:dyDescent="0.35">
      <c r="B10" s="4"/>
      <c r="C10" s="154"/>
      <c r="D10" s="5"/>
      <c r="E10" s="5"/>
      <c r="F10" s="5"/>
      <c r="G10" s="162"/>
    </row>
    <row r="11" spans="1:7" x14ac:dyDescent="0.35">
      <c r="A11" s="153"/>
      <c r="B11" s="4"/>
      <c r="C11" s="154"/>
      <c r="D11" s="5"/>
      <c r="E11" s="5"/>
      <c r="F11" s="5"/>
      <c r="G11" s="162"/>
    </row>
    <row r="12" spans="1:7" x14ac:dyDescent="0.35">
      <c r="A12" s="159"/>
      <c r="B12" s="5"/>
      <c r="C12" s="160"/>
      <c r="D12" s="5"/>
      <c r="G12" s="155"/>
    </row>
    <row r="13" spans="1:7" x14ac:dyDescent="0.35">
      <c r="A13" s="331" t="s">
        <v>109</v>
      </c>
      <c r="B13" s="332"/>
      <c r="C13" s="333"/>
      <c r="E13" s="341" t="s">
        <v>78</v>
      </c>
      <c r="F13" s="342"/>
      <c r="G13" s="343"/>
    </row>
    <row r="14" spans="1:7" x14ac:dyDescent="0.35">
      <c r="A14" s="331" t="s">
        <v>118</v>
      </c>
      <c r="B14" s="332"/>
      <c r="C14" s="333"/>
      <c r="E14" s="11"/>
      <c r="F14" s="16" t="s">
        <v>80</v>
      </c>
      <c r="G14" s="163"/>
    </row>
    <row r="15" spans="1:7" x14ac:dyDescent="0.35">
      <c r="A15" s="331" t="s">
        <v>119</v>
      </c>
      <c r="B15" s="332"/>
      <c r="C15" s="333"/>
      <c r="E15" s="12"/>
      <c r="F15" s="16" t="s">
        <v>17</v>
      </c>
      <c r="G15" s="164">
        <v>200163666</v>
      </c>
    </row>
    <row r="16" spans="1:7" x14ac:dyDescent="0.35">
      <c r="A16" s="165"/>
      <c r="B16" s="4"/>
      <c r="C16" s="154"/>
      <c r="E16" s="4"/>
      <c r="F16" s="14" t="s">
        <v>31</v>
      </c>
      <c r="G16" s="166">
        <v>712222</v>
      </c>
    </row>
    <row r="17" spans="1:8" x14ac:dyDescent="0.35">
      <c r="A17" s="165"/>
      <c r="B17" s="4"/>
      <c r="C17" s="154"/>
      <c r="E17" s="4"/>
      <c r="F17" s="14" t="s">
        <v>33</v>
      </c>
      <c r="G17" s="162"/>
    </row>
    <row r="18" spans="1:8" x14ac:dyDescent="0.35">
      <c r="A18" s="165"/>
      <c r="B18" s="4"/>
      <c r="C18" s="154"/>
      <c r="E18" s="4"/>
      <c r="F18" s="14" t="s">
        <v>117</v>
      </c>
      <c r="G18" s="162"/>
    </row>
    <row r="19" spans="1:8" x14ac:dyDescent="0.35">
      <c r="A19" s="167"/>
      <c r="B19" s="4"/>
      <c r="C19" s="154"/>
      <c r="E19" s="4"/>
      <c r="G19" s="162"/>
    </row>
    <row r="20" spans="1:8" x14ac:dyDescent="0.35">
      <c r="A20" s="153"/>
      <c r="B20" s="4"/>
      <c r="C20" s="154"/>
      <c r="D20" s="5"/>
      <c r="E20" s="5"/>
      <c r="F20" s="5"/>
      <c r="G20" s="162"/>
    </row>
    <row r="21" spans="1:8" x14ac:dyDescent="0.35">
      <c r="A21" s="142" t="s">
        <v>6</v>
      </c>
      <c r="B21" s="142" t="s">
        <v>12</v>
      </c>
      <c r="C21" s="144" t="s">
        <v>13</v>
      </c>
      <c r="D21" s="144" t="s">
        <v>13</v>
      </c>
      <c r="E21" s="144" t="s">
        <v>7</v>
      </c>
      <c r="F21" s="144" t="s">
        <v>18</v>
      </c>
      <c r="G21" s="145" t="s">
        <v>8</v>
      </c>
    </row>
    <row r="22" spans="1:8" ht="15.5" x14ac:dyDescent="0.35">
      <c r="A22" s="325" t="s">
        <v>116</v>
      </c>
      <c r="B22" s="262"/>
      <c r="C22" s="255"/>
      <c r="D22" s="256"/>
      <c r="E22" s="255"/>
      <c r="F22" s="257"/>
      <c r="G22" s="317">
        <f>SUM(F23:F39)</f>
        <v>862.5</v>
      </c>
      <c r="H22" s="175"/>
    </row>
    <row r="23" spans="1:8" ht="15.5" x14ac:dyDescent="0.35">
      <c r="A23" s="259"/>
      <c r="B23" s="244">
        <v>77017</v>
      </c>
      <c r="C23" s="244"/>
      <c r="D23" s="66"/>
      <c r="E23" s="244">
        <v>1</v>
      </c>
      <c r="F23" s="318">
        <v>235</v>
      </c>
      <c r="G23" s="264"/>
      <c r="H23" s="175"/>
    </row>
    <row r="24" spans="1:8" ht="15.5" x14ac:dyDescent="0.35">
      <c r="A24" s="265"/>
      <c r="B24" s="244">
        <v>77023</v>
      </c>
      <c r="C24" s="244">
        <v>25</v>
      </c>
      <c r="D24" s="289"/>
      <c r="E24" s="244">
        <v>1</v>
      </c>
      <c r="F24" s="318">
        <v>220</v>
      </c>
      <c r="G24" s="264"/>
      <c r="H24" s="175"/>
    </row>
    <row r="25" spans="1:8" ht="15.5" x14ac:dyDescent="0.35">
      <c r="A25" s="266"/>
      <c r="B25" s="321">
        <v>77029</v>
      </c>
      <c r="C25" s="244">
        <v>26</v>
      </c>
      <c r="D25" s="66"/>
      <c r="E25" s="321">
        <v>1</v>
      </c>
      <c r="F25" s="318">
        <v>142.5</v>
      </c>
      <c r="G25" s="264"/>
      <c r="H25" s="175"/>
    </row>
    <row r="26" spans="1:8" ht="15.5" x14ac:dyDescent="0.35">
      <c r="A26" s="268"/>
      <c r="B26" s="244">
        <v>76248</v>
      </c>
      <c r="C26" s="244"/>
      <c r="D26" s="256"/>
      <c r="E26" s="244">
        <v>2</v>
      </c>
      <c r="F26" s="319">
        <v>100</v>
      </c>
      <c r="G26" s="258"/>
      <c r="H26" s="175"/>
    </row>
    <row r="27" spans="1:8" ht="15.5" x14ac:dyDescent="0.35">
      <c r="A27" s="261"/>
      <c r="B27" s="244">
        <v>76291</v>
      </c>
      <c r="C27" s="22"/>
      <c r="D27" s="256"/>
      <c r="E27" s="244">
        <v>4</v>
      </c>
      <c r="F27" s="322">
        <v>80</v>
      </c>
      <c r="G27" s="258"/>
      <c r="H27" s="175"/>
    </row>
    <row r="28" spans="1:8" ht="15.5" x14ac:dyDescent="0.35">
      <c r="A28" s="276"/>
      <c r="B28" s="244">
        <v>76293</v>
      </c>
      <c r="C28" s="22"/>
      <c r="D28" s="256"/>
      <c r="E28" s="244">
        <v>4</v>
      </c>
      <c r="F28" s="322">
        <v>80</v>
      </c>
      <c r="G28" s="258"/>
      <c r="H28" s="175"/>
    </row>
    <row r="29" spans="1:8" ht="15.5" x14ac:dyDescent="0.35">
      <c r="A29" s="277"/>
      <c r="B29" s="244">
        <v>76201</v>
      </c>
      <c r="C29" s="22"/>
      <c r="D29" s="256"/>
      <c r="E29" s="244">
        <v>1</v>
      </c>
      <c r="F29" s="322">
        <v>5</v>
      </c>
      <c r="G29" s="258"/>
      <c r="H29" s="175"/>
    </row>
    <row r="30" spans="1:8" ht="15.5" x14ac:dyDescent="0.35">
      <c r="A30" s="261"/>
      <c r="B30" s="244"/>
      <c r="C30" s="22"/>
      <c r="D30" s="279"/>
      <c r="E30" s="244"/>
      <c r="F30" s="323"/>
      <c r="G30" s="258"/>
      <c r="H30" s="175"/>
    </row>
    <row r="31" spans="1:8" ht="15.5" x14ac:dyDescent="0.35">
      <c r="A31" s="278"/>
      <c r="B31" s="244"/>
      <c r="C31" s="22"/>
      <c r="D31" s="279"/>
      <c r="E31" s="244"/>
      <c r="F31" s="324"/>
      <c r="G31" s="280"/>
      <c r="H31" s="175"/>
    </row>
    <row r="32" spans="1:8" ht="15.5" x14ac:dyDescent="0.35">
      <c r="A32" s="278"/>
      <c r="B32" s="244"/>
      <c r="C32" s="22"/>
      <c r="D32" s="279"/>
      <c r="E32" s="244"/>
      <c r="F32" s="324"/>
      <c r="G32" s="280"/>
      <c r="H32" s="175"/>
    </row>
    <row r="33" spans="1:8" ht="15.5" x14ac:dyDescent="0.35">
      <c r="A33" s="273"/>
      <c r="B33" s="282"/>
      <c r="C33" s="260"/>
      <c r="D33" s="272"/>
      <c r="E33" s="262"/>
      <c r="F33" s="275"/>
      <c r="G33" s="280"/>
      <c r="H33" s="175"/>
    </row>
    <row r="34" spans="1:8" ht="15.5" x14ac:dyDescent="0.35">
      <c r="A34" s="278"/>
      <c r="B34" s="262"/>
      <c r="C34" s="279"/>
      <c r="D34" s="283"/>
      <c r="E34" s="260"/>
      <c r="F34" s="275"/>
      <c r="G34" s="280"/>
      <c r="H34" s="175"/>
    </row>
    <row r="35" spans="1:8" ht="15.5" x14ac:dyDescent="0.35">
      <c r="A35" s="272"/>
      <c r="B35" s="262"/>
      <c r="C35" s="282"/>
      <c r="D35" s="262"/>
      <c r="E35" s="262"/>
      <c r="F35" s="275"/>
      <c r="G35" s="280"/>
      <c r="H35" s="175"/>
    </row>
    <row r="36" spans="1:8" ht="15.5" x14ac:dyDescent="0.35">
      <c r="A36" s="272"/>
      <c r="B36" s="262"/>
      <c r="C36" s="282"/>
      <c r="D36" s="262"/>
      <c r="E36" s="262"/>
      <c r="F36" s="275"/>
      <c r="G36" s="280"/>
      <c r="H36" s="175"/>
    </row>
    <row r="37" spans="1:8" ht="15.5" x14ac:dyDescent="0.35">
      <c r="A37" s="272"/>
      <c r="B37" s="262"/>
      <c r="C37" s="282"/>
      <c r="D37" s="262"/>
      <c r="E37" s="262"/>
      <c r="F37" s="275"/>
      <c r="G37" s="280"/>
      <c r="H37" s="175"/>
    </row>
    <row r="38" spans="1:8" ht="15.5" x14ac:dyDescent="0.35">
      <c r="A38" s="272"/>
      <c r="B38" s="262"/>
      <c r="C38" s="282"/>
      <c r="D38" s="262"/>
      <c r="E38" s="262"/>
      <c r="F38" s="275"/>
      <c r="G38" s="280"/>
      <c r="H38" s="175"/>
    </row>
    <row r="39" spans="1:8" ht="15.5" x14ac:dyDescent="0.35">
      <c r="A39" s="272"/>
      <c r="B39" s="262"/>
      <c r="C39" s="282"/>
      <c r="D39" s="262"/>
      <c r="E39" s="262"/>
      <c r="F39" s="275"/>
      <c r="G39" s="280"/>
      <c r="H39" s="175"/>
    </row>
    <row r="40" spans="1:8" ht="15.5" x14ac:dyDescent="0.35">
      <c r="A40" s="272"/>
      <c r="B40" s="262"/>
      <c r="C40" s="282"/>
      <c r="D40" s="262"/>
      <c r="E40" s="279"/>
      <c r="F40" s="284"/>
      <c r="G40" s="280"/>
      <c r="H40" s="175"/>
    </row>
    <row r="41" spans="1:8" ht="18" x14ac:dyDescent="0.35">
      <c r="A41" s="228"/>
      <c r="B41" s="228"/>
      <c r="C41" s="229"/>
      <c r="D41" s="230"/>
      <c r="E41" s="231" t="s">
        <v>9</v>
      </c>
      <c r="F41" s="231"/>
      <c r="G41" s="317">
        <f>SUM(G22:G35)</f>
        <v>862.5</v>
      </c>
      <c r="H41" s="175"/>
    </row>
    <row r="42" spans="1:8" ht="16" thickBot="1" x14ac:dyDescent="0.4">
      <c r="A42" s="153"/>
      <c r="B42" s="4"/>
      <c r="C42" s="154"/>
      <c r="D42" s="6"/>
      <c r="E42" s="38"/>
      <c r="G42" s="168"/>
    </row>
    <row r="43" spans="1:8" ht="19" thickBot="1" x14ac:dyDescent="0.4">
      <c r="A43" s="153"/>
      <c r="B43" s="4"/>
      <c r="C43" s="154"/>
      <c r="D43" s="6"/>
      <c r="E43" s="36" t="s">
        <v>10</v>
      </c>
      <c r="F43" s="37" t="s">
        <v>34</v>
      </c>
      <c r="G43" s="320">
        <f>G41</f>
        <v>862.5</v>
      </c>
    </row>
    <row r="44" spans="1:8" ht="16" thickBot="1" x14ac:dyDescent="0.4">
      <c r="A44" s="153"/>
      <c r="B44" s="4"/>
      <c r="C44" s="154"/>
      <c r="D44" s="6"/>
      <c r="E44" s="35"/>
      <c r="F44" s="25"/>
      <c r="G44" s="155"/>
    </row>
    <row r="45" spans="1:8" ht="18.5" x14ac:dyDescent="0.35">
      <c r="A45" s="87" t="s">
        <v>20</v>
      </c>
      <c r="B45" s="88" t="s">
        <v>21</v>
      </c>
      <c r="C45" s="109"/>
      <c r="D45" s="89"/>
      <c r="E45" s="90"/>
      <c r="F45" s="90"/>
      <c r="G45" s="91"/>
    </row>
    <row r="46" spans="1:8" ht="18.5" x14ac:dyDescent="0.35">
      <c r="A46" s="92" t="s">
        <v>22</v>
      </c>
      <c r="B46" s="76" t="s">
        <v>38</v>
      </c>
      <c r="C46" s="102"/>
      <c r="D46" s="4"/>
      <c r="E46" s="84"/>
      <c r="F46" s="84"/>
      <c r="G46" s="93"/>
    </row>
    <row r="47" spans="1:8" ht="18.5" x14ac:dyDescent="0.35">
      <c r="A47" s="92" t="s">
        <v>24</v>
      </c>
      <c r="B47" s="86" t="s">
        <v>37</v>
      </c>
      <c r="C47" s="102"/>
      <c r="D47" s="4"/>
      <c r="E47" s="84"/>
      <c r="F47" s="84"/>
      <c r="G47" s="93"/>
    </row>
    <row r="48" spans="1:8" ht="18.5" x14ac:dyDescent="0.35">
      <c r="A48" s="92" t="s">
        <v>26</v>
      </c>
      <c r="B48" s="86">
        <v>3103</v>
      </c>
      <c r="C48" s="102"/>
      <c r="D48" s="4"/>
      <c r="E48" s="84"/>
      <c r="F48" s="84"/>
      <c r="G48" s="93"/>
    </row>
    <row r="49" spans="1:7" ht="18.5" x14ac:dyDescent="0.35">
      <c r="A49" s="92" t="s">
        <v>27</v>
      </c>
      <c r="B49" s="76" t="s">
        <v>28</v>
      </c>
      <c r="C49" s="102"/>
      <c r="D49" s="4"/>
      <c r="E49" s="84"/>
      <c r="F49" s="84"/>
      <c r="G49" s="93"/>
    </row>
    <row r="50" spans="1:7" ht="16" thickBot="1" x14ac:dyDescent="0.4">
      <c r="A50" s="94" t="s">
        <v>29</v>
      </c>
      <c r="B50" s="95" t="s">
        <v>30</v>
      </c>
      <c r="C50" s="110"/>
      <c r="D50" s="96"/>
      <c r="E50" s="97"/>
      <c r="F50" s="98"/>
      <c r="G50" s="99"/>
    </row>
    <row r="51" spans="1:7" x14ac:dyDescent="0.35">
      <c r="A51" s="14"/>
      <c r="B51" s="15"/>
      <c r="C51" s="80"/>
      <c r="F51" s="25"/>
    </row>
    <row r="52" spans="1:7" x14ac:dyDescent="0.35">
      <c r="A52" s="14"/>
      <c r="B52" s="31"/>
      <c r="C52" s="81"/>
      <c r="F52" s="25"/>
    </row>
    <row r="53" spans="1:7" x14ac:dyDescent="0.35">
      <c r="A53" s="31"/>
      <c r="F53" s="25"/>
    </row>
    <row r="54" spans="1:7" ht="15.5" x14ac:dyDescent="0.35">
      <c r="F54" s="35"/>
    </row>
    <row r="55" spans="1:7" x14ac:dyDescent="0.35">
      <c r="F55" s="6"/>
    </row>
    <row r="56" spans="1:7" x14ac:dyDescent="0.35">
      <c r="B56" s="43"/>
      <c r="F56" s="31"/>
    </row>
    <row r="57" spans="1:7" x14ac:dyDescent="0.35">
      <c r="B57" s="44"/>
    </row>
    <row r="59" spans="1:7" x14ac:dyDescent="0.35">
      <c r="B59" s="45"/>
    </row>
  </sheetData>
  <sortState xmlns:xlrd2="http://schemas.microsoft.com/office/spreadsheetml/2017/richdata2" ref="B23:B25">
    <sortCondition descending="1" ref="B23:B25"/>
  </sortState>
  <mergeCells count="8">
    <mergeCell ref="A15:C15"/>
    <mergeCell ref="A14:C14"/>
    <mergeCell ref="E6:F6"/>
    <mergeCell ref="E7:F7"/>
    <mergeCell ref="E8:F8"/>
    <mergeCell ref="E9:F9"/>
    <mergeCell ref="A13:C13"/>
    <mergeCell ref="E13:G13"/>
  </mergeCells>
  <phoneticPr fontId="49" type="noConversion"/>
  <conditionalFormatting sqref="B22 B25">
    <cfRule type="duplicateValues" dxfId="2" priority="3"/>
  </conditionalFormatting>
  <dataValidations disablePrompts="1" count="1">
    <dataValidation type="list" allowBlank="1" showInputMessage="1" showErrorMessage="1" sqref="G5" xr:uid="{00000000-0002-0000-0000-000000000000}">
      <formula1>"INVOICE,RECEIPT"</formula1>
    </dataValidation>
  </dataValidations>
  <pageMargins left="0.7" right="0.7" top="0.75" bottom="0.75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8"/>
  <sheetViews>
    <sheetView view="pageBreakPreview" topLeftCell="A13" zoomScaleNormal="100" zoomScaleSheetLayoutView="100" workbookViewId="0">
      <selection activeCell="C25" sqref="C25"/>
    </sheetView>
  </sheetViews>
  <sheetFormatPr defaultRowHeight="14.5" x14ac:dyDescent="0.35"/>
  <cols>
    <col min="1" max="1" width="43.7265625" customWidth="1"/>
    <col min="2" max="2" width="9.1796875" customWidth="1"/>
    <col min="3" max="3" width="8.81640625" customWidth="1"/>
    <col min="4" max="4" width="9.1796875" hidden="1" customWidth="1"/>
    <col min="5" max="5" width="12" bestFit="1" customWidth="1"/>
    <col min="6" max="6" width="15.26953125" style="236" customWidth="1"/>
    <col min="7" max="7" width="23.1796875" style="54" customWidth="1"/>
    <col min="8" max="8" width="11.26953125" bestFit="1" customWidth="1"/>
    <col min="13" max="13" width="9.453125" bestFit="1" customWidth="1"/>
  </cols>
  <sheetData>
    <row r="1" spans="1:7" ht="36.5" x14ac:dyDescent="0.35">
      <c r="A1" s="1"/>
      <c r="B1" s="1"/>
      <c r="C1" s="101"/>
      <c r="D1" s="1"/>
      <c r="F1" s="232"/>
    </row>
    <row r="2" spans="1:7" x14ac:dyDescent="0.35">
      <c r="A2" s="4"/>
      <c r="B2" s="4"/>
      <c r="C2" s="102"/>
      <c r="D2" s="4"/>
      <c r="E2" s="5"/>
      <c r="F2" s="233"/>
    </row>
    <row r="3" spans="1:7" x14ac:dyDescent="0.35">
      <c r="A3" s="4"/>
      <c r="B3" s="4"/>
      <c r="C3" s="102"/>
      <c r="D3" s="4"/>
      <c r="E3" s="5"/>
      <c r="F3" s="233"/>
    </row>
    <row r="4" spans="1:7" x14ac:dyDescent="0.35">
      <c r="A4" s="4"/>
      <c r="B4" s="4"/>
      <c r="C4" s="102"/>
      <c r="D4" s="4"/>
      <c r="E4" s="5"/>
      <c r="F4" s="233"/>
    </row>
    <row r="5" spans="1:7" ht="34.5" x14ac:dyDescent="0.35">
      <c r="A5" s="4"/>
      <c r="B5" s="4"/>
      <c r="C5" s="102"/>
      <c r="D5" s="4"/>
      <c r="F5" s="234" t="s">
        <v>0</v>
      </c>
      <c r="G5" s="55" t="s">
        <v>1</v>
      </c>
    </row>
    <row r="6" spans="1:7" x14ac:dyDescent="0.35">
      <c r="A6" s="4"/>
      <c r="B6" s="8"/>
      <c r="C6" s="103"/>
      <c r="D6" s="8"/>
      <c r="E6" s="334" t="s">
        <v>2</v>
      </c>
      <c r="F6" s="334"/>
      <c r="G6" s="56" t="s">
        <v>3</v>
      </c>
    </row>
    <row r="7" spans="1:7" x14ac:dyDescent="0.35">
      <c r="A7" s="5"/>
      <c r="B7" s="5"/>
      <c r="C7" s="104"/>
      <c r="D7" s="5"/>
      <c r="E7" s="335"/>
      <c r="F7" s="336"/>
      <c r="G7" s="250">
        <f ca="1">TODAY()</f>
        <v>46015</v>
      </c>
    </row>
    <row r="8" spans="1:7" x14ac:dyDescent="0.35">
      <c r="A8" s="4"/>
      <c r="B8" s="4"/>
      <c r="C8" s="102"/>
      <c r="D8" s="4"/>
      <c r="E8" s="337" t="s">
        <v>19</v>
      </c>
      <c r="F8" s="338"/>
      <c r="G8" s="56" t="s">
        <v>4</v>
      </c>
    </row>
    <row r="9" spans="1:7" x14ac:dyDescent="0.35">
      <c r="A9" s="5"/>
      <c r="B9" s="5"/>
      <c r="C9" s="104"/>
      <c r="D9" s="5"/>
      <c r="E9" s="339" t="s">
        <v>32</v>
      </c>
      <c r="F9" s="340"/>
      <c r="G9" s="58" t="s">
        <v>103</v>
      </c>
    </row>
    <row r="10" spans="1:7" x14ac:dyDescent="0.35">
      <c r="A10" s="4"/>
      <c r="B10" s="4"/>
      <c r="C10" s="102"/>
      <c r="D10" s="4"/>
      <c r="E10" s="5"/>
      <c r="F10" s="235"/>
      <c r="G10" s="59"/>
    </row>
    <row r="11" spans="1:7" x14ac:dyDescent="0.35">
      <c r="A11" s="4"/>
      <c r="B11" s="4"/>
      <c r="C11" s="102"/>
      <c r="D11" s="4"/>
      <c r="E11" s="5"/>
      <c r="F11" s="235"/>
      <c r="G11" s="59"/>
    </row>
    <row r="12" spans="1:7" x14ac:dyDescent="0.35">
      <c r="A12" s="14"/>
      <c r="B12" s="5"/>
      <c r="C12" s="104"/>
      <c r="D12" s="5"/>
    </row>
    <row r="13" spans="1:7" x14ac:dyDescent="0.35">
      <c r="A13" s="344" t="s">
        <v>109</v>
      </c>
      <c r="B13" s="345"/>
      <c r="C13" s="345"/>
      <c r="D13" s="345"/>
      <c r="E13" s="346" t="s">
        <v>14</v>
      </c>
      <c r="F13" s="347"/>
      <c r="G13" s="348"/>
    </row>
    <row r="14" spans="1:7" x14ac:dyDescent="0.35">
      <c r="A14" s="344" t="s">
        <v>112</v>
      </c>
      <c r="B14" s="345"/>
      <c r="C14" s="345"/>
      <c r="D14" s="10"/>
      <c r="E14" s="11"/>
      <c r="F14" s="237" t="s">
        <v>80</v>
      </c>
      <c r="G14" s="60"/>
    </row>
    <row r="15" spans="1:7" x14ac:dyDescent="0.35">
      <c r="A15" s="344" t="s">
        <v>114</v>
      </c>
      <c r="B15" s="345"/>
      <c r="C15" s="345"/>
      <c r="D15" s="4"/>
      <c r="E15" s="12"/>
      <c r="F15" s="238" t="s">
        <v>17</v>
      </c>
      <c r="G15" s="118">
        <v>200163666</v>
      </c>
    </row>
    <row r="16" spans="1:7" x14ac:dyDescent="0.35">
      <c r="A16" s="83"/>
      <c r="B16" s="4"/>
      <c r="C16" s="102"/>
      <c r="D16" s="4"/>
      <c r="E16" s="4"/>
      <c r="F16" s="239" t="s">
        <v>31</v>
      </c>
      <c r="G16" s="119">
        <v>712222</v>
      </c>
    </row>
    <row r="17" spans="1:13" x14ac:dyDescent="0.35">
      <c r="A17" s="12"/>
      <c r="B17" s="4"/>
      <c r="C17" s="102"/>
      <c r="D17" s="4"/>
      <c r="E17" s="4"/>
      <c r="F17" s="239" t="s">
        <v>33</v>
      </c>
      <c r="G17" s="59"/>
    </row>
    <row r="18" spans="1:13" x14ac:dyDescent="0.35">
      <c r="A18" s="12"/>
      <c r="B18" s="4"/>
      <c r="C18" s="102"/>
      <c r="D18" s="4"/>
      <c r="E18" s="4"/>
      <c r="F18" s="239" t="s">
        <v>111</v>
      </c>
      <c r="G18" s="59"/>
    </row>
    <row r="19" spans="1:13" x14ac:dyDescent="0.35">
      <c r="A19" s="16"/>
      <c r="B19" s="4"/>
      <c r="C19" s="102"/>
      <c r="D19" s="4"/>
      <c r="E19" s="4"/>
      <c r="F19" s="239"/>
      <c r="G19" s="59"/>
    </row>
    <row r="20" spans="1:13" x14ac:dyDescent="0.35">
      <c r="A20" s="4"/>
      <c r="B20" s="4"/>
      <c r="C20" s="102"/>
      <c r="D20" s="4"/>
      <c r="E20" s="5"/>
      <c r="F20" s="235"/>
      <c r="G20" s="59"/>
    </row>
    <row r="21" spans="1:13" x14ac:dyDescent="0.35">
      <c r="A21" s="142" t="s">
        <v>6</v>
      </c>
      <c r="B21" s="142" t="s">
        <v>102</v>
      </c>
      <c r="C21" s="143" t="s">
        <v>13</v>
      </c>
      <c r="D21" s="142"/>
      <c r="E21" s="144" t="s">
        <v>7</v>
      </c>
      <c r="F21" s="240" t="s">
        <v>18</v>
      </c>
      <c r="G21" s="145" t="s">
        <v>8</v>
      </c>
    </row>
    <row r="22" spans="1:13" s="76" customFormat="1" ht="15.5" x14ac:dyDescent="0.35">
      <c r="A22" s="288" t="s">
        <v>113</v>
      </c>
      <c r="B22" s="262"/>
      <c r="C22" s="255"/>
      <c r="D22" s="256"/>
      <c r="E22" s="255"/>
      <c r="F22" s="257"/>
      <c r="G22" s="316">
        <f>SUM(F23:F38)</f>
        <v>45827.25</v>
      </c>
      <c r="H22" s="246"/>
      <c r="M22" s="246"/>
    </row>
    <row r="23" spans="1:13" ht="15.5" x14ac:dyDescent="0.35">
      <c r="A23" s="259"/>
      <c r="B23" s="66">
        <v>77513</v>
      </c>
      <c r="C23" s="65"/>
      <c r="D23" s="66"/>
      <c r="E23" s="22">
        <v>1</v>
      </c>
      <c r="F23" s="327">
        <v>38377.5</v>
      </c>
      <c r="G23" s="264"/>
      <c r="H23" s="73"/>
      <c r="L23" s="247"/>
    </row>
    <row r="24" spans="1:13" ht="15.5" x14ac:dyDescent="0.35">
      <c r="A24" s="265"/>
      <c r="B24" s="66">
        <v>76297</v>
      </c>
      <c r="C24" s="66"/>
      <c r="D24" s="289"/>
      <c r="E24" s="22">
        <v>8</v>
      </c>
      <c r="F24" s="327">
        <v>7224</v>
      </c>
      <c r="G24" s="264"/>
      <c r="H24" s="73"/>
    </row>
    <row r="25" spans="1:13" ht="15.5" x14ac:dyDescent="0.35">
      <c r="A25" s="266"/>
      <c r="B25" s="66">
        <v>76201</v>
      </c>
      <c r="C25" s="66"/>
      <c r="D25" s="66"/>
      <c r="E25" s="66">
        <v>1</v>
      </c>
      <c r="F25" s="327">
        <v>225.75</v>
      </c>
      <c r="G25" s="264"/>
      <c r="H25" s="73"/>
    </row>
    <row r="26" spans="1:13" ht="15.5" x14ac:dyDescent="0.35">
      <c r="A26" s="268"/>
      <c r="B26" s="66"/>
      <c r="C26" s="66"/>
      <c r="D26" s="66"/>
      <c r="E26" s="66"/>
      <c r="F26" s="327"/>
      <c r="G26" s="258"/>
    </row>
    <row r="27" spans="1:13" ht="15.5" x14ac:dyDescent="0.35">
      <c r="A27" s="268"/>
      <c r="B27" s="66"/>
      <c r="C27" s="68"/>
      <c r="D27" s="256"/>
      <c r="E27" s="66"/>
      <c r="F27" s="328"/>
      <c r="G27" s="258"/>
    </row>
    <row r="28" spans="1:13" ht="15.5" x14ac:dyDescent="0.35">
      <c r="A28" s="273"/>
      <c r="B28" s="66"/>
      <c r="C28" s="66"/>
      <c r="D28" s="267"/>
      <c r="E28" s="66"/>
      <c r="F28" s="263"/>
      <c r="G28" s="258"/>
    </row>
    <row r="29" spans="1:13" ht="15.5" x14ac:dyDescent="0.35">
      <c r="A29" s="273"/>
      <c r="B29" s="66"/>
      <c r="C29" s="68"/>
      <c r="D29" s="262"/>
      <c r="E29" s="66"/>
      <c r="F29" s="270"/>
      <c r="G29" s="264"/>
    </row>
    <row r="30" spans="1:13" ht="15.5" x14ac:dyDescent="0.35">
      <c r="A30" s="269"/>
      <c r="B30" s="22"/>
      <c r="C30" s="22"/>
      <c r="D30" s="262"/>
      <c r="E30" s="22"/>
      <c r="F30" s="270"/>
      <c r="G30" s="258"/>
    </row>
    <row r="31" spans="1:13" ht="15.5" x14ac:dyDescent="0.35">
      <c r="A31" s="269"/>
      <c r="B31" s="262"/>
      <c r="C31" s="262"/>
      <c r="D31" s="262"/>
      <c r="E31" s="262"/>
      <c r="F31" s="270"/>
      <c r="G31" s="258"/>
    </row>
    <row r="32" spans="1:13" ht="15.5" x14ac:dyDescent="0.35">
      <c r="A32" s="261"/>
      <c r="B32" s="262"/>
      <c r="C32" s="260"/>
      <c r="D32" s="262"/>
      <c r="E32" s="262"/>
      <c r="F32" s="270"/>
      <c r="G32" s="272"/>
    </row>
    <row r="33" spans="1:8" ht="15.5" x14ac:dyDescent="0.35">
      <c r="A33" s="261"/>
      <c r="B33" s="260"/>
      <c r="C33" s="260"/>
      <c r="D33" s="260"/>
      <c r="E33" s="260"/>
      <c r="F33" s="270"/>
      <c r="G33" s="224"/>
    </row>
    <row r="34" spans="1:8" ht="15.5" x14ac:dyDescent="0.35">
      <c r="A34" s="261"/>
      <c r="B34" s="271"/>
      <c r="C34" s="260"/>
      <c r="D34" s="260"/>
      <c r="E34" s="66"/>
      <c r="F34" s="270"/>
      <c r="G34" s="224"/>
    </row>
    <row r="35" spans="1:8" ht="15.5" x14ac:dyDescent="0.35">
      <c r="A35" s="272"/>
      <c r="B35" s="273"/>
      <c r="C35" s="262"/>
      <c r="D35" s="260"/>
      <c r="E35" s="273"/>
      <c r="F35" s="273"/>
      <c r="G35" s="224"/>
    </row>
    <row r="36" spans="1:8" ht="15.5" x14ac:dyDescent="0.35">
      <c r="A36" s="197"/>
      <c r="B36" s="171"/>
      <c r="C36" s="171"/>
      <c r="D36" s="171"/>
      <c r="E36" s="173"/>
      <c r="F36" s="173"/>
      <c r="G36" s="174"/>
    </row>
    <row r="37" spans="1:8" ht="15.5" x14ac:dyDescent="0.35">
      <c r="A37" s="197"/>
      <c r="B37" s="169"/>
      <c r="C37" s="171"/>
      <c r="D37" s="171"/>
      <c r="E37" s="173"/>
      <c r="F37" s="173"/>
      <c r="G37" s="174"/>
    </row>
    <row r="38" spans="1:8" ht="16.5" customHeight="1" x14ac:dyDescent="0.35">
      <c r="A38" s="197"/>
      <c r="B38" s="169"/>
      <c r="C38" s="169"/>
      <c r="D38" s="171"/>
      <c r="E38" s="191"/>
      <c r="F38" s="173"/>
      <c r="G38" s="174"/>
    </row>
    <row r="39" spans="1:8" ht="15.5" hidden="1" x14ac:dyDescent="0.35">
      <c r="A39" s="17"/>
      <c r="B39" s="100"/>
      <c r="C39" s="105"/>
      <c r="D39" s="100"/>
      <c r="E39" s="79"/>
      <c r="F39" s="173"/>
      <c r="G39" s="75"/>
    </row>
    <row r="40" spans="1:8" ht="15.5" hidden="1" x14ac:dyDescent="0.35">
      <c r="A40" s="65"/>
      <c r="B40" s="100"/>
      <c r="C40" s="105"/>
      <c r="D40" s="100"/>
      <c r="E40" s="100"/>
      <c r="F40" s="173"/>
      <c r="G40" s="69"/>
      <c r="H40" s="73"/>
    </row>
    <row r="41" spans="1:8" ht="15.5" hidden="1" x14ac:dyDescent="0.35">
      <c r="A41" s="65"/>
      <c r="B41" s="100"/>
      <c r="C41" s="105"/>
      <c r="D41" s="100"/>
      <c r="E41" s="100"/>
      <c r="F41" s="173"/>
      <c r="G41" s="69"/>
      <c r="H41" s="73"/>
    </row>
    <row r="42" spans="1:8" ht="15.5" hidden="1" x14ac:dyDescent="0.35">
      <c r="A42" s="65"/>
      <c r="B42" s="66"/>
      <c r="C42" s="106"/>
      <c r="D42" s="66"/>
      <c r="E42" s="66"/>
      <c r="F42" s="173"/>
      <c r="G42" s="69"/>
      <c r="H42" s="73"/>
    </row>
    <row r="43" spans="1:8" ht="15.5" hidden="1" x14ac:dyDescent="0.35">
      <c r="A43" s="65"/>
      <c r="B43" s="66"/>
      <c r="C43" s="106"/>
      <c r="D43" s="66"/>
      <c r="E43" s="66"/>
      <c r="F43" s="173"/>
      <c r="G43" s="70"/>
      <c r="H43" s="73"/>
    </row>
    <row r="44" spans="1:8" ht="15.5" hidden="1" x14ac:dyDescent="0.35">
      <c r="A44" s="67"/>
      <c r="B44" s="68"/>
      <c r="C44" s="107"/>
      <c r="D44" s="68"/>
      <c r="E44" s="72"/>
      <c r="F44" s="173"/>
      <c r="G44" s="71"/>
      <c r="H44" s="74"/>
    </row>
    <row r="45" spans="1:8" ht="15.5" hidden="1" x14ac:dyDescent="0.35">
      <c r="A45" s="48"/>
      <c r="B45" s="22"/>
      <c r="C45" s="22"/>
      <c r="D45" s="22"/>
      <c r="E45" s="18"/>
      <c r="F45" s="173"/>
      <c r="G45" s="75"/>
    </row>
    <row r="46" spans="1:8" ht="15.5" hidden="1" x14ac:dyDescent="0.35">
      <c r="A46" s="46"/>
      <c r="B46" s="18"/>
      <c r="C46" s="106"/>
      <c r="D46" s="18"/>
      <c r="E46" s="18"/>
      <c r="F46" s="173"/>
      <c r="G46" s="75"/>
    </row>
    <row r="47" spans="1:8" ht="15.5" hidden="1" x14ac:dyDescent="0.35">
      <c r="A47" s="17"/>
      <c r="B47" s="18"/>
      <c r="C47" s="106"/>
      <c r="D47" s="18"/>
      <c r="E47" s="24"/>
      <c r="F47" s="173"/>
      <c r="G47" s="75"/>
    </row>
    <row r="48" spans="1:8" ht="15.5" hidden="1" x14ac:dyDescent="0.35">
      <c r="A48" s="17"/>
      <c r="B48" s="18"/>
      <c r="C48" s="106"/>
      <c r="D48" s="18"/>
      <c r="E48" s="24"/>
      <c r="F48" s="173"/>
      <c r="G48" s="75"/>
    </row>
    <row r="49" spans="1:8" ht="15.5" hidden="1" x14ac:dyDescent="0.35">
      <c r="A49" s="17"/>
      <c r="B49" s="18"/>
      <c r="C49" s="106"/>
      <c r="D49" s="18"/>
      <c r="E49" s="24"/>
      <c r="F49" s="173"/>
      <c r="G49" s="75"/>
    </row>
    <row r="50" spans="1:8" ht="15.5" hidden="1" x14ac:dyDescent="0.35">
      <c r="A50" s="17"/>
      <c r="B50" s="18"/>
      <c r="C50" s="106"/>
      <c r="D50" s="18"/>
      <c r="E50" s="24"/>
      <c r="F50" s="173"/>
      <c r="G50" s="75"/>
    </row>
    <row r="51" spans="1:8" ht="15.5" hidden="1" x14ac:dyDescent="0.35">
      <c r="A51" s="17"/>
      <c r="B51" s="18"/>
      <c r="C51" s="106"/>
      <c r="D51" s="18"/>
      <c r="E51" s="24"/>
      <c r="F51" s="173"/>
      <c r="G51" s="75"/>
    </row>
    <row r="52" spans="1:8" ht="15.5" hidden="1" x14ac:dyDescent="0.35">
      <c r="A52" s="17"/>
      <c r="B52" s="18"/>
      <c r="C52" s="106"/>
      <c r="D52" s="18"/>
      <c r="E52" s="24"/>
      <c r="F52" s="173"/>
      <c r="G52" s="75"/>
    </row>
    <row r="53" spans="1:8" ht="15.5" hidden="1" x14ac:dyDescent="0.35">
      <c r="A53" s="17"/>
      <c r="B53" s="23"/>
      <c r="C53" s="108"/>
      <c r="D53" s="23"/>
      <c r="E53" s="24"/>
      <c r="F53" s="173"/>
      <c r="G53" s="75"/>
    </row>
    <row r="54" spans="1:8" ht="15" thickBot="1" x14ac:dyDescent="0.4">
      <c r="A54" s="13"/>
      <c r="B54" s="4"/>
      <c r="C54" s="102"/>
      <c r="D54" s="4"/>
      <c r="E54" s="138" t="s">
        <v>9</v>
      </c>
      <c r="F54" s="138" t="s">
        <v>115</v>
      </c>
      <c r="G54" s="329">
        <f>SUM(G22:G38)</f>
        <v>45827.25</v>
      </c>
      <c r="H54" s="247"/>
    </row>
    <row r="55" spans="1:8" ht="15" thickBot="1" x14ac:dyDescent="0.4">
      <c r="A55" s="13"/>
      <c r="B55" s="4"/>
      <c r="C55" s="102"/>
      <c r="D55" s="4"/>
      <c r="E55" s="139"/>
      <c r="F55" s="139"/>
      <c r="G55" s="140"/>
    </row>
    <row r="56" spans="1:8" ht="15" thickBot="1" x14ac:dyDescent="0.4">
      <c r="A56" s="13"/>
      <c r="B56" s="4"/>
      <c r="C56" s="102"/>
      <c r="D56" s="4"/>
      <c r="E56" s="141" t="s">
        <v>10</v>
      </c>
      <c r="F56" s="141" t="s">
        <v>115</v>
      </c>
      <c r="G56" s="330">
        <f>G54</f>
        <v>45827.25</v>
      </c>
    </row>
    <row r="57" spans="1:8" ht="19" thickBot="1" x14ac:dyDescent="0.4">
      <c r="A57" s="13"/>
      <c r="B57" s="4"/>
      <c r="C57" s="102"/>
      <c r="D57" s="4"/>
      <c r="E57" s="84"/>
      <c r="F57" s="84"/>
      <c r="G57" s="85"/>
    </row>
    <row r="58" spans="1:8" ht="18.5" x14ac:dyDescent="0.35">
      <c r="A58" s="87" t="s">
        <v>20</v>
      </c>
      <c r="B58" s="88" t="s">
        <v>21</v>
      </c>
      <c r="C58" s="109"/>
      <c r="D58" s="89"/>
      <c r="E58" s="90"/>
      <c r="F58" s="90"/>
      <c r="G58" s="91"/>
    </row>
    <row r="59" spans="1:8" ht="18.5" x14ac:dyDescent="0.35">
      <c r="A59" s="92" t="s">
        <v>22</v>
      </c>
      <c r="B59" s="76" t="s">
        <v>23</v>
      </c>
      <c r="C59" s="102"/>
      <c r="D59" s="4"/>
      <c r="E59" s="84"/>
      <c r="F59" s="84"/>
      <c r="G59" s="93"/>
    </row>
    <row r="60" spans="1:8" ht="18.5" x14ac:dyDescent="0.35">
      <c r="A60" s="92" t="s">
        <v>24</v>
      </c>
      <c r="B60" s="127" t="s">
        <v>25</v>
      </c>
      <c r="C60" s="102"/>
      <c r="D60" s="4"/>
      <c r="E60" s="84"/>
      <c r="F60" s="84"/>
      <c r="G60" s="93"/>
    </row>
    <row r="61" spans="1:8" ht="18.5" x14ac:dyDescent="0.35">
      <c r="A61" s="92" t="s">
        <v>26</v>
      </c>
      <c r="B61" s="86">
        <v>3103</v>
      </c>
      <c r="C61" s="102"/>
      <c r="D61" s="4"/>
      <c r="E61" s="84"/>
      <c r="F61" s="84"/>
      <c r="G61" s="93"/>
    </row>
    <row r="62" spans="1:8" ht="18.5" x14ac:dyDescent="0.35">
      <c r="A62" s="92" t="s">
        <v>27</v>
      </c>
      <c r="B62" s="76" t="s">
        <v>28</v>
      </c>
      <c r="C62" s="102"/>
      <c r="D62" s="4"/>
      <c r="E62" s="84"/>
      <c r="F62" s="84"/>
      <c r="G62" s="93"/>
    </row>
    <row r="63" spans="1:8" ht="16" thickBot="1" x14ac:dyDescent="0.4">
      <c r="A63" s="94" t="s">
        <v>29</v>
      </c>
      <c r="B63" s="95" t="s">
        <v>30</v>
      </c>
      <c r="C63" s="110"/>
      <c r="D63" s="96"/>
      <c r="E63" s="97"/>
      <c r="F63" s="97"/>
      <c r="G63" s="99"/>
    </row>
    <row r="64" spans="1:8" x14ac:dyDescent="0.35">
      <c r="A64" s="13"/>
      <c r="B64" s="4"/>
      <c r="C64" s="102"/>
      <c r="D64" s="4"/>
      <c r="E64" s="6"/>
      <c r="F64" s="6"/>
    </row>
    <row r="65" spans="1:6" x14ac:dyDescent="0.35">
      <c r="A65" s="4"/>
      <c r="B65" s="4"/>
      <c r="C65" s="102"/>
      <c r="D65" s="4"/>
      <c r="E65" s="31"/>
      <c r="F65" s="241"/>
    </row>
    <row r="66" spans="1:6" x14ac:dyDescent="0.35">
      <c r="A66" s="4"/>
      <c r="B66" s="32"/>
      <c r="C66" s="32"/>
      <c r="D66" s="32"/>
      <c r="F66" s="241"/>
    </row>
    <row r="67" spans="1:6" x14ac:dyDescent="0.35">
      <c r="A67" s="32"/>
      <c r="B67" s="6"/>
      <c r="C67" s="111"/>
      <c r="D67" s="6"/>
      <c r="F67" s="241"/>
    </row>
    <row r="68" spans="1:6" ht="15.5" x14ac:dyDescent="0.35">
      <c r="A68" s="33"/>
      <c r="B68" s="6"/>
      <c r="C68" s="111"/>
      <c r="D68" s="6"/>
      <c r="F68" s="241"/>
    </row>
    <row r="69" spans="1:6" x14ac:dyDescent="0.35">
      <c r="A69" s="34"/>
      <c r="B69" s="6"/>
      <c r="C69" s="111"/>
      <c r="D69" s="6"/>
      <c r="F69" s="241"/>
    </row>
    <row r="70" spans="1:6" x14ac:dyDescent="0.35">
      <c r="A70" s="14"/>
      <c r="B70" s="15"/>
      <c r="C70" s="112"/>
      <c r="D70" s="15"/>
      <c r="F70" s="241"/>
    </row>
    <row r="71" spans="1:6" x14ac:dyDescent="0.35">
      <c r="A71" s="14"/>
      <c r="B71" s="31"/>
      <c r="C71" s="31"/>
      <c r="D71" s="31"/>
      <c r="F71" s="241"/>
    </row>
    <row r="72" spans="1:6" x14ac:dyDescent="0.35">
      <c r="A72" s="31"/>
      <c r="F72" s="241"/>
    </row>
    <row r="73" spans="1:6" ht="15.5" x14ac:dyDescent="0.35">
      <c r="F73" s="242"/>
    </row>
    <row r="74" spans="1:6" x14ac:dyDescent="0.35">
      <c r="F74" s="233"/>
    </row>
    <row r="75" spans="1:6" x14ac:dyDescent="0.35">
      <c r="B75" s="43"/>
      <c r="C75" s="43"/>
      <c r="D75" s="43"/>
      <c r="F75" s="243"/>
    </row>
    <row r="76" spans="1:6" x14ac:dyDescent="0.35">
      <c r="B76" s="44"/>
      <c r="C76" s="44"/>
      <c r="D76" s="44"/>
    </row>
    <row r="78" spans="1:6" x14ac:dyDescent="0.35">
      <c r="B78" s="45"/>
      <c r="C78" s="113"/>
      <c r="D78" s="45"/>
    </row>
  </sheetData>
  <mergeCells count="8">
    <mergeCell ref="A14:C14"/>
    <mergeCell ref="A15:C15"/>
    <mergeCell ref="E6:F6"/>
    <mergeCell ref="E7:F7"/>
    <mergeCell ref="E8:F8"/>
    <mergeCell ref="E9:F9"/>
    <mergeCell ref="A13:D13"/>
    <mergeCell ref="E13:G13"/>
  </mergeCells>
  <phoneticPr fontId="49" type="noConversion"/>
  <conditionalFormatting sqref="B23:B26">
    <cfRule type="duplicateValues" dxfId="1" priority="1"/>
  </conditionalFormatting>
  <conditionalFormatting sqref="B28:B1048576 B1:B22">
    <cfRule type="duplicateValues" dxfId="0" priority="2"/>
  </conditionalFormatting>
  <dataValidations count="1">
    <dataValidation type="list" allowBlank="1" showInputMessage="1" showErrorMessage="1" sqref="G5" xr:uid="{00000000-0002-0000-0100-000000000000}">
      <formula1>"INVOICE,RECEIPT"</formula1>
    </dataValidation>
  </dataValidations>
  <pageMargins left="0.7" right="0.7" top="0.75" bottom="0.75" header="0.3" footer="0.3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7"/>
  <sheetViews>
    <sheetView view="pageBreakPreview" topLeftCell="A7" zoomScale="118" zoomScaleNormal="100" zoomScaleSheetLayoutView="118" workbookViewId="0">
      <selection activeCell="G8" sqref="G8"/>
    </sheetView>
  </sheetViews>
  <sheetFormatPr defaultRowHeight="14.5" x14ac:dyDescent="0.35"/>
  <cols>
    <col min="1" max="1" width="58.453125" customWidth="1"/>
    <col min="2" max="2" width="8.453125" style="129" customWidth="1"/>
    <col min="3" max="3" width="9.1796875" hidden="1" customWidth="1"/>
    <col min="4" max="4" width="0.1796875" customWidth="1"/>
    <col min="5" max="5" width="16" customWidth="1"/>
    <col min="6" max="6" width="14.81640625" customWidth="1"/>
    <col min="7" max="7" width="19.7265625" style="54" customWidth="1"/>
  </cols>
  <sheetData>
    <row r="1" spans="1:8" ht="36.5" x14ac:dyDescent="0.35">
      <c r="A1" s="1"/>
      <c r="B1" s="126"/>
      <c r="C1" s="1"/>
      <c r="D1" s="2"/>
      <c r="F1" s="3"/>
      <c r="H1" t="s">
        <v>93</v>
      </c>
    </row>
    <row r="2" spans="1:8" x14ac:dyDescent="0.35">
      <c r="A2" s="4"/>
      <c r="B2" s="4"/>
      <c r="C2" s="4"/>
      <c r="D2" s="4"/>
      <c r="E2" s="5"/>
      <c r="F2" s="6"/>
    </row>
    <row r="3" spans="1:8" x14ac:dyDescent="0.35">
      <c r="A3" s="4"/>
      <c r="B3" s="4"/>
      <c r="C3" s="4"/>
      <c r="D3" s="4"/>
      <c r="E3" s="5"/>
      <c r="F3" s="6"/>
    </row>
    <row r="4" spans="1:8" x14ac:dyDescent="0.35">
      <c r="A4" s="4"/>
      <c r="B4" s="4"/>
      <c r="C4" s="4"/>
      <c r="D4" s="4"/>
      <c r="E4" s="5"/>
      <c r="F4" s="6"/>
    </row>
    <row r="5" spans="1:8" ht="34.5" x14ac:dyDescent="0.35">
      <c r="A5" s="4"/>
      <c r="B5" s="4"/>
      <c r="C5" s="4"/>
      <c r="D5" s="4"/>
      <c r="F5" s="7"/>
      <c r="G5" s="78" t="s">
        <v>1</v>
      </c>
    </row>
    <row r="6" spans="1:8" x14ac:dyDescent="0.35">
      <c r="A6" s="4"/>
      <c r="B6" s="8"/>
      <c r="C6" s="8"/>
      <c r="D6" s="4"/>
      <c r="E6" s="334" t="s">
        <v>2</v>
      </c>
      <c r="F6" s="334"/>
      <c r="G6" s="56" t="s">
        <v>3</v>
      </c>
    </row>
    <row r="7" spans="1:8" x14ac:dyDescent="0.35">
      <c r="A7" s="5"/>
      <c r="B7" s="5"/>
      <c r="C7" s="5"/>
      <c r="D7" s="4"/>
      <c r="E7" s="335"/>
      <c r="F7" s="336"/>
      <c r="G7" s="245" t="s">
        <v>106</v>
      </c>
    </row>
    <row r="8" spans="1:8" x14ac:dyDescent="0.35">
      <c r="A8" s="4"/>
      <c r="B8" s="4"/>
      <c r="C8" s="4"/>
      <c r="D8" s="4"/>
      <c r="E8" s="349"/>
      <c r="F8" s="350"/>
      <c r="G8" s="56" t="s">
        <v>4</v>
      </c>
    </row>
    <row r="9" spans="1:8" x14ac:dyDescent="0.35">
      <c r="A9" s="5"/>
      <c r="B9" s="5"/>
      <c r="C9" s="5"/>
      <c r="D9" s="4"/>
      <c r="E9" s="335"/>
      <c r="F9" s="336"/>
      <c r="G9" s="58" t="s">
        <v>15</v>
      </c>
    </row>
    <row r="10" spans="1:8" x14ac:dyDescent="0.35">
      <c r="A10" s="16"/>
      <c r="B10" s="16"/>
      <c r="C10" s="16"/>
      <c r="D10" s="14"/>
      <c r="E10" s="14"/>
      <c r="F10" s="5"/>
      <c r="G10" s="59"/>
    </row>
    <row r="11" spans="1:8" x14ac:dyDescent="0.35">
      <c r="A11" s="4"/>
      <c r="B11" s="4"/>
      <c r="C11" s="4"/>
      <c r="D11" s="5"/>
      <c r="E11" s="5"/>
      <c r="F11" s="5"/>
      <c r="G11" s="59"/>
    </row>
    <row r="12" spans="1:8" x14ac:dyDescent="0.35">
      <c r="A12" s="5"/>
      <c r="B12" s="5"/>
      <c r="C12" s="5"/>
      <c r="D12" s="5"/>
    </row>
    <row r="13" spans="1:8" x14ac:dyDescent="0.35">
      <c r="E13" s="346" t="s">
        <v>5</v>
      </c>
      <c r="F13" s="347"/>
      <c r="G13" s="348"/>
    </row>
    <row r="14" spans="1:8" x14ac:dyDescent="0.35">
      <c r="A14" s="344" t="s">
        <v>105</v>
      </c>
      <c r="B14" s="345"/>
      <c r="C14" s="345"/>
      <c r="D14" s="345"/>
      <c r="E14" s="11" t="s">
        <v>79</v>
      </c>
      <c r="F14" s="11"/>
      <c r="G14" s="60"/>
    </row>
    <row r="15" spans="1:8" x14ac:dyDescent="0.35">
      <c r="A15" s="12"/>
      <c r="B15" s="4"/>
      <c r="C15" s="4"/>
      <c r="E15" s="16" t="s">
        <v>17</v>
      </c>
      <c r="F15" s="118">
        <v>200163666</v>
      </c>
      <c r="G15" s="61"/>
    </row>
    <row r="16" spans="1:8" x14ac:dyDescent="0.35">
      <c r="A16" s="12"/>
      <c r="B16" s="4"/>
      <c r="C16" s="4"/>
      <c r="E16" s="14" t="s">
        <v>31</v>
      </c>
      <c r="F16" s="119">
        <v>712222</v>
      </c>
      <c r="G16" s="59"/>
    </row>
    <row r="17" spans="1:7" x14ac:dyDescent="0.35">
      <c r="A17" s="12" t="s">
        <v>75</v>
      </c>
      <c r="B17" s="4"/>
      <c r="C17" s="4"/>
      <c r="E17" s="14" t="s">
        <v>33</v>
      </c>
      <c r="F17" s="59"/>
      <c r="G17" s="59"/>
    </row>
    <row r="18" spans="1:7" x14ac:dyDescent="0.35">
      <c r="A18" s="12"/>
      <c r="B18" s="4"/>
      <c r="C18" s="4"/>
      <c r="E18" s="14"/>
      <c r="F18" s="59"/>
      <c r="G18" s="59"/>
    </row>
    <row r="19" spans="1:7" x14ac:dyDescent="0.35">
      <c r="A19" s="16" t="s">
        <v>11</v>
      </c>
      <c r="B19" s="4"/>
      <c r="C19" s="4"/>
      <c r="E19" s="4"/>
      <c r="F19" s="5"/>
      <c r="G19" s="59"/>
    </row>
    <row r="20" spans="1:7" x14ac:dyDescent="0.35">
      <c r="A20" s="4"/>
      <c r="B20" s="4"/>
      <c r="C20" s="4"/>
      <c r="D20" s="5"/>
      <c r="E20" s="5"/>
      <c r="F20" s="5"/>
      <c r="G20" s="59"/>
    </row>
    <row r="21" spans="1:7" x14ac:dyDescent="0.35">
      <c r="A21" s="39" t="s">
        <v>6</v>
      </c>
      <c r="B21" s="131" t="s">
        <v>7</v>
      </c>
      <c r="C21" s="40" t="s">
        <v>35</v>
      </c>
      <c r="D21" s="41" t="s">
        <v>13</v>
      </c>
      <c r="E21" s="41" t="s">
        <v>92</v>
      </c>
      <c r="F21" s="41" t="s">
        <v>36</v>
      </c>
      <c r="G21" s="77" t="s">
        <v>8</v>
      </c>
    </row>
    <row r="22" spans="1:7" ht="15.5" x14ac:dyDescent="0.35">
      <c r="A22" s="173" t="s">
        <v>104</v>
      </c>
      <c r="B22" s="209">
        <v>1</v>
      </c>
      <c r="C22" s="209"/>
      <c r="D22" s="209"/>
      <c r="E22" s="210">
        <v>6400</v>
      </c>
      <c r="F22" s="210">
        <f>SUM(E22:E25)</f>
        <v>6400</v>
      </c>
      <c r="G22" s="211">
        <f>F22</f>
        <v>6400</v>
      </c>
    </row>
    <row r="23" spans="1:7" ht="15.5" x14ac:dyDescent="0.35">
      <c r="A23" s="173"/>
      <c r="B23" s="209"/>
      <c r="C23" s="209"/>
      <c r="D23" s="209"/>
      <c r="E23" s="210"/>
      <c r="F23" s="210"/>
      <c r="G23" s="211"/>
    </row>
    <row r="24" spans="1:7" x14ac:dyDescent="0.35">
      <c r="A24" s="22"/>
      <c r="B24" s="22"/>
      <c r="C24" s="207"/>
      <c r="D24" s="213"/>
      <c r="E24" s="210"/>
      <c r="F24" s="210"/>
      <c r="G24" s="211"/>
    </row>
    <row r="25" spans="1:7" x14ac:dyDescent="0.35">
      <c r="A25" s="22"/>
      <c r="B25" s="22"/>
      <c r="C25" s="217"/>
      <c r="D25" s="212"/>
      <c r="E25" s="210"/>
      <c r="F25" s="210"/>
      <c r="G25" s="211"/>
    </row>
    <row r="26" spans="1:7" x14ac:dyDescent="0.35">
      <c r="A26" s="22"/>
      <c r="B26" s="216"/>
      <c r="C26" s="217"/>
      <c r="D26" s="212"/>
      <c r="E26" s="210"/>
      <c r="F26" s="210"/>
      <c r="G26" s="211"/>
    </row>
    <row r="27" spans="1:7" x14ac:dyDescent="0.35">
      <c r="A27" s="213"/>
      <c r="B27" s="216"/>
      <c r="C27" s="207"/>
      <c r="D27" s="212"/>
      <c r="E27" s="210"/>
      <c r="F27" s="210"/>
      <c r="G27" s="211"/>
    </row>
    <row r="28" spans="1:7" x14ac:dyDescent="0.35">
      <c r="A28" s="208"/>
      <c r="B28" s="207"/>
      <c r="C28" s="207"/>
      <c r="D28" s="212"/>
      <c r="E28" s="212"/>
      <c r="F28" s="214"/>
      <c r="G28" s="211"/>
    </row>
    <row r="29" spans="1:7" x14ac:dyDescent="0.35">
      <c r="A29" s="17"/>
      <c r="B29" s="47"/>
      <c r="C29" s="22"/>
      <c r="D29" s="18"/>
      <c r="E29" s="18"/>
      <c r="F29" s="28"/>
      <c r="G29" s="75"/>
    </row>
    <row r="30" spans="1:7" x14ac:dyDescent="0.35">
      <c r="A30" s="48"/>
      <c r="B30" s="47"/>
      <c r="C30" s="18"/>
      <c r="D30" s="18"/>
      <c r="E30" s="18"/>
      <c r="F30" s="28"/>
      <c r="G30" s="75"/>
    </row>
    <row r="31" spans="1:7" x14ac:dyDescent="0.35">
      <c r="A31" s="46"/>
      <c r="B31" s="18"/>
      <c r="C31" s="18"/>
      <c r="D31" s="19"/>
      <c r="E31" s="18"/>
      <c r="F31" s="28"/>
      <c r="G31" s="75"/>
    </row>
    <row r="32" spans="1:7" x14ac:dyDescent="0.35">
      <c r="A32" s="17"/>
      <c r="B32" s="18"/>
      <c r="C32" s="18"/>
      <c r="D32" s="24"/>
      <c r="E32" s="24"/>
      <c r="F32" s="29"/>
      <c r="G32" s="75"/>
    </row>
    <row r="33" spans="1:7" x14ac:dyDescent="0.35">
      <c r="A33" s="17"/>
      <c r="B33" s="18"/>
      <c r="C33" s="18"/>
      <c r="D33" s="24"/>
      <c r="E33" s="24"/>
      <c r="F33" s="21"/>
      <c r="G33" s="75"/>
    </row>
    <row r="34" spans="1:7" x14ac:dyDescent="0.35">
      <c r="A34" s="17"/>
      <c r="B34" s="18"/>
      <c r="C34" s="18"/>
      <c r="D34" s="24"/>
      <c r="E34" s="24"/>
      <c r="F34" s="20"/>
      <c r="G34" s="75"/>
    </row>
    <row r="35" spans="1:7" x14ac:dyDescent="0.35">
      <c r="A35" s="17"/>
      <c r="B35" s="18"/>
      <c r="C35" s="18"/>
      <c r="D35" s="24"/>
      <c r="E35" s="24"/>
      <c r="F35" s="20"/>
      <c r="G35" s="75"/>
    </row>
    <row r="36" spans="1:7" x14ac:dyDescent="0.35">
      <c r="A36" s="17"/>
      <c r="B36" s="18"/>
      <c r="C36" s="18"/>
      <c r="D36" s="24"/>
      <c r="E36" s="24"/>
      <c r="F36" s="20"/>
      <c r="G36" s="75"/>
    </row>
    <row r="37" spans="1:7" x14ac:dyDescent="0.35">
      <c r="A37" s="17"/>
      <c r="B37" s="18"/>
      <c r="C37" s="18"/>
      <c r="D37" s="24"/>
      <c r="E37" s="24"/>
      <c r="F37" s="20"/>
      <c r="G37" s="75"/>
    </row>
    <row r="38" spans="1:7" x14ac:dyDescent="0.35">
      <c r="A38" s="17"/>
      <c r="B38" s="23"/>
      <c r="C38" s="23"/>
      <c r="D38" s="24"/>
      <c r="E38" s="24"/>
      <c r="F38" s="20"/>
      <c r="G38" s="75"/>
    </row>
    <row r="39" spans="1:7" ht="16" thickBot="1" x14ac:dyDescent="0.4">
      <c r="A39" s="13"/>
      <c r="B39" s="4"/>
      <c r="C39" s="4"/>
      <c r="D39" s="50"/>
      <c r="E39" s="51" t="s">
        <v>9</v>
      </c>
      <c r="F39" s="52"/>
      <c r="G39" s="198">
        <f>SUM(G22:G38)</f>
        <v>6400</v>
      </c>
    </row>
    <row r="40" spans="1:7" ht="16" thickBot="1" x14ac:dyDescent="0.4">
      <c r="A40" s="13"/>
      <c r="B40" s="4"/>
      <c r="C40" s="4"/>
      <c r="D40" s="6"/>
      <c r="E40" s="38"/>
      <c r="G40" s="63"/>
    </row>
    <row r="41" spans="1:7" ht="19" thickBot="1" x14ac:dyDescent="0.4">
      <c r="A41" s="13"/>
      <c r="B41" s="4"/>
      <c r="C41" s="4"/>
      <c r="D41" s="6"/>
      <c r="E41" s="36" t="s">
        <v>10</v>
      </c>
      <c r="F41" s="37"/>
      <c r="G41" s="64">
        <f>G39</f>
        <v>6400</v>
      </c>
    </row>
    <row r="42" spans="1:7" ht="18.5" x14ac:dyDescent="0.35">
      <c r="A42" s="87" t="s">
        <v>20</v>
      </c>
      <c r="B42" s="124" t="s">
        <v>21</v>
      </c>
      <c r="C42" s="109"/>
      <c r="D42" s="89"/>
      <c r="E42" s="90"/>
      <c r="F42" s="90"/>
      <c r="G42" s="91"/>
    </row>
    <row r="43" spans="1:7" ht="18.5" x14ac:dyDescent="0.35">
      <c r="A43" s="92" t="s">
        <v>22</v>
      </c>
      <c r="B43" s="123" t="s">
        <v>23</v>
      </c>
      <c r="C43" s="102"/>
      <c r="D43" s="4"/>
      <c r="E43" s="84"/>
      <c r="F43" s="84"/>
      <c r="G43" s="93"/>
    </row>
    <row r="44" spans="1:7" ht="18.5" x14ac:dyDescent="0.35">
      <c r="A44" s="92" t="s">
        <v>24</v>
      </c>
      <c r="B44" s="127" t="s">
        <v>25</v>
      </c>
      <c r="C44" s="102"/>
      <c r="D44" s="4"/>
      <c r="E44" s="84"/>
      <c r="F44" s="84"/>
      <c r="G44" s="93"/>
    </row>
    <row r="45" spans="1:7" ht="18.5" x14ac:dyDescent="0.35">
      <c r="A45" s="92" t="s">
        <v>26</v>
      </c>
      <c r="B45" s="127">
        <v>3103</v>
      </c>
      <c r="C45" s="102"/>
      <c r="D45" s="4"/>
      <c r="E45" s="84"/>
      <c r="F45" s="84"/>
      <c r="G45" s="93"/>
    </row>
    <row r="46" spans="1:7" ht="18.5" x14ac:dyDescent="0.35">
      <c r="A46" s="92" t="s">
        <v>27</v>
      </c>
      <c r="B46" s="123" t="s">
        <v>28</v>
      </c>
      <c r="C46" s="102"/>
      <c r="D46" s="4"/>
      <c r="E46" s="84"/>
      <c r="F46" s="84"/>
      <c r="G46" s="93"/>
    </row>
    <row r="47" spans="1:7" ht="16" thickBot="1" x14ac:dyDescent="0.4">
      <c r="A47" s="94" t="s">
        <v>29</v>
      </c>
      <c r="B47" s="125" t="s">
        <v>30</v>
      </c>
      <c r="C47" s="110"/>
      <c r="D47" s="96"/>
      <c r="E47" s="97"/>
      <c r="F47" s="98"/>
      <c r="G47" s="99"/>
    </row>
    <row r="48" spans="1:7" x14ac:dyDescent="0.35">
      <c r="A48" s="34"/>
      <c r="B48" s="6"/>
      <c r="C48" s="6"/>
      <c r="F48" s="25"/>
    </row>
    <row r="49" spans="1:6" x14ac:dyDescent="0.35">
      <c r="A49" s="14"/>
      <c r="B49" s="15"/>
      <c r="C49" s="6"/>
      <c r="F49" s="25"/>
    </row>
    <row r="50" spans="1:6" x14ac:dyDescent="0.35">
      <c r="A50" s="14"/>
      <c r="B50" s="122"/>
      <c r="C50" s="31"/>
      <c r="F50" s="25"/>
    </row>
    <row r="51" spans="1:6" x14ac:dyDescent="0.35">
      <c r="A51" s="31"/>
      <c r="F51" s="25"/>
    </row>
    <row r="52" spans="1:6" ht="15.5" x14ac:dyDescent="0.35">
      <c r="F52" s="35"/>
    </row>
    <row r="53" spans="1:6" x14ac:dyDescent="0.35">
      <c r="F53" s="6"/>
    </row>
    <row r="54" spans="1:6" x14ac:dyDescent="0.35">
      <c r="B54" s="130"/>
      <c r="F54" s="31"/>
    </row>
    <row r="55" spans="1:6" x14ac:dyDescent="0.35">
      <c r="B55" s="128"/>
    </row>
    <row r="57" spans="1:6" x14ac:dyDescent="0.35">
      <c r="B57" s="121"/>
    </row>
  </sheetData>
  <mergeCells count="6">
    <mergeCell ref="A14:D14"/>
    <mergeCell ref="E6:F6"/>
    <mergeCell ref="E7:F7"/>
    <mergeCell ref="E8:F8"/>
    <mergeCell ref="E9:F9"/>
    <mergeCell ref="E13:G13"/>
  </mergeCells>
  <dataValidations count="1">
    <dataValidation type="list" allowBlank="1" showInputMessage="1" showErrorMessage="1" sqref="G5" xr:uid="{00000000-0002-0000-0200-000000000000}">
      <formula1>"INVOICE,RECEIPT"</formula1>
    </dataValidation>
  </dataValidations>
  <pageMargins left="0.7" right="0.7" top="0.75" bottom="0.75" header="0.3" footer="0.3"/>
  <pageSetup paperSize="9" scale="69" fitToHeight="0" orientation="portrait" r:id="rId1"/>
  <colBreaks count="1" manualBreakCount="1">
    <brk id="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view="pageBreakPreview" topLeftCell="A2" zoomScaleNormal="100" zoomScaleSheetLayoutView="100" workbookViewId="0">
      <selection activeCell="A16" sqref="A16"/>
    </sheetView>
  </sheetViews>
  <sheetFormatPr defaultRowHeight="14.5" x14ac:dyDescent="0.35"/>
  <cols>
    <col min="1" max="1" width="58.453125" style="190" customWidth="1"/>
    <col min="2" max="2" width="8.453125" customWidth="1"/>
    <col min="3" max="3" width="9.1796875" hidden="1" customWidth="1"/>
    <col min="4" max="4" width="0.1796875" customWidth="1"/>
    <col min="5" max="5" width="16.1796875" customWidth="1"/>
    <col min="6" max="6" width="14.453125" style="294" customWidth="1"/>
    <col min="7" max="7" width="19.7265625" style="54" customWidth="1"/>
  </cols>
  <sheetData>
    <row r="1" spans="1:7" ht="36.5" x14ac:dyDescent="0.35">
      <c r="A1" s="176"/>
      <c r="B1" s="1"/>
      <c r="C1" s="1"/>
      <c r="D1" s="2"/>
      <c r="F1" s="290"/>
    </row>
    <row r="2" spans="1:7" x14ac:dyDescent="0.35">
      <c r="A2" s="177"/>
      <c r="B2" s="4"/>
      <c r="C2" s="4"/>
      <c r="D2" s="4"/>
      <c r="E2" s="5"/>
      <c r="F2" s="291"/>
    </row>
    <row r="3" spans="1:7" x14ac:dyDescent="0.35">
      <c r="A3" s="177"/>
      <c r="B3" s="4"/>
      <c r="C3" s="4"/>
      <c r="D3" s="4"/>
      <c r="E3" s="5"/>
      <c r="F3" s="291"/>
    </row>
    <row r="4" spans="1:7" x14ac:dyDescent="0.35">
      <c r="A4" s="177"/>
      <c r="B4" s="4"/>
      <c r="C4" s="4"/>
      <c r="D4" s="4"/>
      <c r="E4" s="5"/>
      <c r="F4" s="291"/>
    </row>
    <row r="5" spans="1:7" ht="34.5" x14ac:dyDescent="0.35">
      <c r="A5" s="177"/>
      <c r="B5" s="4"/>
      <c r="C5" s="4"/>
      <c r="D5" s="4"/>
      <c r="F5" s="292"/>
      <c r="G5" s="78" t="s">
        <v>1</v>
      </c>
    </row>
    <row r="6" spans="1:7" ht="19.5" customHeight="1" x14ac:dyDescent="0.35">
      <c r="A6" s="177"/>
      <c r="B6" s="8"/>
      <c r="C6" s="8"/>
      <c r="D6" s="4"/>
      <c r="E6" s="334"/>
      <c r="F6" s="334"/>
      <c r="G6" s="56" t="s">
        <v>3</v>
      </c>
    </row>
    <row r="7" spans="1:7" x14ac:dyDescent="0.35">
      <c r="A7" s="178"/>
      <c r="B7" s="5"/>
      <c r="C7" s="5"/>
      <c r="D7" s="4"/>
      <c r="E7" s="335"/>
      <c r="F7" s="336"/>
      <c r="G7" s="245">
        <f ca="1">TODAY()</f>
        <v>46015</v>
      </c>
    </row>
    <row r="8" spans="1:7" x14ac:dyDescent="0.35">
      <c r="A8" s="177"/>
      <c r="B8" s="4"/>
      <c r="C8" s="4"/>
      <c r="D8" s="4"/>
      <c r="E8" s="349"/>
      <c r="F8" s="350"/>
      <c r="G8" s="56"/>
    </row>
    <row r="9" spans="1:7" x14ac:dyDescent="0.35">
      <c r="A9" s="178"/>
      <c r="B9" s="5"/>
      <c r="C9" s="5"/>
      <c r="D9" s="4"/>
      <c r="E9" s="335"/>
      <c r="F9" s="336"/>
      <c r="G9" s="58" t="s">
        <v>91</v>
      </c>
    </row>
    <row r="10" spans="1:7" x14ac:dyDescent="0.35">
      <c r="A10" s="177"/>
      <c r="B10" s="4"/>
      <c r="C10" s="4"/>
      <c r="D10" s="5"/>
      <c r="E10" s="5"/>
      <c r="F10" s="293"/>
      <c r="G10" s="59" t="s">
        <v>75</v>
      </c>
    </row>
    <row r="11" spans="1:7" x14ac:dyDescent="0.35">
      <c r="A11" s="177"/>
      <c r="B11" s="4"/>
      <c r="C11" s="4"/>
      <c r="D11" s="5"/>
      <c r="E11" s="5"/>
      <c r="F11" s="293"/>
      <c r="G11" s="59"/>
    </row>
    <row r="12" spans="1:7" x14ac:dyDescent="0.35">
      <c r="A12" s="178"/>
      <c r="B12" s="5"/>
      <c r="C12" s="5"/>
      <c r="D12" s="5"/>
    </row>
    <row r="13" spans="1:7" x14ac:dyDescent="0.35">
      <c r="A13" s="351" t="s">
        <v>108</v>
      </c>
      <c r="B13" s="332"/>
      <c r="C13" s="333"/>
      <c r="E13" s="346" t="s">
        <v>5</v>
      </c>
      <c r="F13" s="347"/>
      <c r="G13" s="348"/>
    </row>
    <row r="14" spans="1:7" x14ac:dyDescent="0.35">
      <c r="A14" s="351"/>
      <c r="B14" s="332"/>
      <c r="C14" s="333"/>
      <c r="E14" s="346" t="s">
        <v>96</v>
      </c>
      <c r="F14" s="347"/>
      <c r="G14" s="348"/>
    </row>
    <row r="15" spans="1:7" x14ac:dyDescent="0.35">
      <c r="A15" s="180"/>
      <c r="B15" s="11"/>
      <c r="C15" s="11"/>
      <c r="D15" s="11"/>
      <c r="E15" s="11" t="s">
        <v>100</v>
      </c>
      <c r="F15" s="295"/>
      <c r="G15" s="59"/>
    </row>
    <row r="16" spans="1:7" x14ac:dyDescent="0.35">
      <c r="A16" s="180"/>
      <c r="B16" s="4"/>
      <c r="C16" s="4"/>
      <c r="E16" s="11" t="s">
        <v>17</v>
      </c>
      <c r="F16" s="315">
        <v>200163666</v>
      </c>
      <c r="G16" s="59"/>
    </row>
    <row r="17" spans="1:7" x14ac:dyDescent="0.35">
      <c r="A17" s="180"/>
      <c r="B17" s="4"/>
      <c r="C17" s="4"/>
      <c r="E17" s="11" t="s">
        <v>31</v>
      </c>
      <c r="F17" s="296">
        <v>712222</v>
      </c>
      <c r="G17" s="59"/>
    </row>
    <row r="18" spans="1:7" x14ac:dyDescent="0.35">
      <c r="A18" s="180"/>
      <c r="B18" s="4"/>
      <c r="C18" s="4"/>
      <c r="E18" s="14"/>
      <c r="F18" s="297"/>
      <c r="G18" s="59"/>
    </row>
    <row r="19" spans="1:7" x14ac:dyDescent="0.35">
      <c r="A19" s="181" t="s">
        <v>11</v>
      </c>
      <c r="B19" s="4"/>
      <c r="C19" s="4"/>
      <c r="E19" s="14"/>
      <c r="F19" s="297"/>
      <c r="G19" s="59"/>
    </row>
    <row r="20" spans="1:7" x14ac:dyDescent="0.35">
      <c r="A20" s="177"/>
      <c r="B20" s="4"/>
      <c r="C20" s="4"/>
      <c r="D20" s="5"/>
      <c r="E20" s="5"/>
      <c r="F20" s="297"/>
      <c r="G20" s="59"/>
    </row>
    <row r="21" spans="1:7" x14ac:dyDescent="0.35">
      <c r="A21" s="182" t="s">
        <v>6</v>
      </c>
      <c r="B21" s="40" t="s">
        <v>7</v>
      </c>
      <c r="C21" s="40" t="s">
        <v>35</v>
      </c>
      <c r="D21" s="41" t="s">
        <v>13</v>
      </c>
      <c r="E21" s="41" t="s">
        <v>101</v>
      </c>
      <c r="F21" s="298" t="s">
        <v>75</v>
      </c>
      <c r="G21" s="77" t="s">
        <v>58</v>
      </c>
    </row>
    <row r="22" spans="1:7" ht="15.5" x14ac:dyDescent="0.35">
      <c r="A22" s="281" t="s">
        <v>107</v>
      </c>
      <c r="B22" s="267" t="s">
        <v>59</v>
      </c>
      <c r="C22" s="285"/>
      <c r="D22" s="285"/>
      <c r="E22" s="258">
        <v>450</v>
      </c>
      <c r="F22" s="299">
        <v>450</v>
      </c>
      <c r="G22" s="258">
        <v>450</v>
      </c>
    </row>
    <row r="23" spans="1:7" ht="15.5" x14ac:dyDescent="0.35">
      <c r="A23" s="281"/>
      <c r="B23" s="22"/>
      <c r="C23" s="286"/>
      <c r="D23" s="274"/>
      <c r="E23" s="22"/>
      <c r="F23" s="300"/>
      <c r="G23" s="258"/>
    </row>
    <row r="24" spans="1:7" ht="15.5" x14ac:dyDescent="0.35">
      <c r="A24" s="281"/>
      <c r="B24" s="22"/>
      <c r="C24" s="286"/>
      <c r="D24" s="274"/>
      <c r="E24" s="22"/>
      <c r="F24" s="300"/>
      <c r="G24" s="258"/>
    </row>
    <row r="25" spans="1:7" ht="15.5" x14ac:dyDescent="0.35">
      <c r="A25" s="281"/>
      <c r="B25" s="22"/>
      <c r="C25" s="267"/>
      <c r="D25" s="274"/>
      <c r="E25" s="22"/>
      <c r="F25" s="299"/>
      <c r="G25" s="258"/>
    </row>
    <row r="26" spans="1:7" ht="15.5" x14ac:dyDescent="0.35">
      <c r="A26" s="281"/>
      <c r="B26" s="22"/>
      <c r="C26" s="267"/>
      <c r="D26" s="274"/>
      <c r="E26" s="22"/>
      <c r="F26" s="301"/>
      <c r="G26" s="258"/>
    </row>
    <row r="27" spans="1:7" ht="15.5" x14ac:dyDescent="0.35">
      <c r="A27" s="261"/>
      <c r="B27" s="22"/>
      <c r="C27" s="260"/>
      <c r="D27" s="287"/>
      <c r="E27" s="22"/>
      <c r="F27" s="302"/>
      <c r="G27" s="224"/>
    </row>
    <row r="28" spans="1:7" ht="15.5" x14ac:dyDescent="0.35">
      <c r="A28" s="261"/>
      <c r="B28" s="22"/>
      <c r="C28" s="260"/>
      <c r="D28" s="287"/>
      <c r="E28" s="22"/>
      <c r="F28" s="302"/>
      <c r="G28" s="224"/>
    </row>
    <row r="29" spans="1:7" ht="15.5" x14ac:dyDescent="0.35">
      <c r="A29" s="261"/>
      <c r="B29" s="22"/>
      <c r="C29" s="260"/>
      <c r="D29" s="287"/>
      <c r="E29" s="22"/>
      <c r="F29" s="302"/>
      <c r="G29" s="224"/>
    </row>
    <row r="30" spans="1:7" ht="15.5" x14ac:dyDescent="0.35">
      <c r="A30" s="261"/>
      <c r="B30" s="22"/>
      <c r="C30" s="260"/>
      <c r="D30" s="287"/>
      <c r="E30" s="22"/>
      <c r="F30" s="302"/>
      <c r="G30" s="224"/>
    </row>
    <row r="31" spans="1:7" ht="15.5" x14ac:dyDescent="0.35">
      <c r="A31" s="261"/>
      <c r="B31" s="260"/>
      <c r="C31" s="260"/>
      <c r="D31" s="287"/>
      <c r="E31" s="287"/>
      <c r="F31" s="303"/>
      <c r="G31" s="224"/>
    </row>
    <row r="32" spans="1:7" x14ac:dyDescent="0.35">
      <c r="A32" s="48"/>
      <c r="B32" s="49"/>
      <c r="C32" s="49"/>
      <c r="D32" s="24"/>
      <c r="E32" s="24"/>
      <c r="F32" s="304"/>
      <c r="G32" s="75"/>
    </row>
    <row r="33" spans="1:7" x14ac:dyDescent="0.35">
      <c r="A33" s="196"/>
      <c r="B33" s="251"/>
      <c r="C33" s="251"/>
      <c r="D33" s="253"/>
      <c r="E33" s="253"/>
      <c r="F33" s="305"/>
      <c r="G33" s="252"/>
    </row>
    <row r="34" spans="1:7" x14ac:dyDescent="0.35">
      <c r="A34" s="196"/>
      <c r="B34" s="251"/>
      <c r="C34" s="251"/>
      <c r="D34" s="253"/>
      <c r="E34" s="253"/>
      <c r="F34" s="305"/>
      <c r="G34" s="252"/>
    </row>
    <row r="35" spans="1:7" x14ac:dyDescent="0.35">
      <c r="A35" s="196"/>
      <c r="B35" s="254"/>
      <c r="C35" s="254"/>
      <c r="D35" s="253"/>
      <c r="E35" s="253"/>
      <c r="F35" s="305"/>
      <c r="G35" s="252"/>
    </row>
    <row r="36" spans="1:7" ht="15.5" x14ac:dyDescent="0.35">
      <c r="A36" s="23"/>
      <c r="B36" s="23"/>
      <c r="C36" s="23"/>
      <c r="D36" s="202"/>
      <c r="E36" s="201" t="s">
        <v>9</v>
      </c>
      <c r="F36" s="306"/>
      <c r="G36" s="203">
        <f>SUM(G22:G35)</f>
        <v>450</v>
      </c>
    </row>
    <row r="37" spans="1:7" ht="15.5" x14ac:dyDescent="0.35">
      <c r="A37" s="23"/>
      <c r="B37" s="23"/>
      <c r="C37" s="23"/>
      <c r="D37" s="48"/>
      <c r="E37" s="201"/>
      <c r="F37" s="307"/>
      <c r="G37" s="206"/>
    </row>
    <row r="38" spans="1:7" ht="19" thickBot="1" x14ac:dyDescent="0.4">
      <c r="A38" s="177"/>
      <c r="B38" s="4"/>
      <c r="C38" s="4"/>
      <c r="D38" s="6"/>
      <c r="E38" s="204" t="s">
        <v>10</v>
      </c>
      <c r="F38" s="308"/>
      <c r="G38" s="205">
        <f>G36</f>
        <v>450</v>
      </c>
    </row>
    <row r="39" spans="1:7" ht="18.5" x14ac:dyDescent="0.35">
      <c r="A39" s="184" t="s">
        <v>20</v>
      </c>
      <c r="B39" s="88" t="s">
        <v>21</v>
      </c>
      <c r="C39" s="109"/>
      <c r="D39" s="89"/>
      <c r="E39" s="90"/>
      <c r="F39" s="309"/>
      <c r="G39" s="91"/>
    </row>
    <row r="40" spans="1:7" ht="18.5" x14ac:dyDescent="0.35">
      <c r="A40" s="185" t="s">
        <v>22</v>
      </c>
      <c r="B40" s="76" t="s">
        <v>38</v>
      </c>
      <c r="C40" s="102"/>
      <c r="D40" s="4"/>
      <c r="E40" s="84"/>
      <c r="F40" s="310"/>
      <c r="G40" s="93"/>
    </row>
    <row r="41" spans="1:7" ht="18.5" x14ac:dyDescent="0.35">
      <c r="A41" s="185" t="s">
        <v>24</v>
      </c>
      <c r="B41" s="86" t="s">
        <v>37</v>
      </c>
      <c r="C41" s="102"/>
      <c r="D41" s="4"/>
      <c r="E41" s="84"/>
      <c r="F41" s="310"/>
      <c r="G41" s="93"/>
    </row>
    <row r="42" spans="1:7" ht="18.5" x14ac:dyDescent="0.35">
      <c r="A42" s="185" t="s">
        <v>26</v>
      </c>
      <c r="B42" s="86">
        <v>3103</v>
      </c>
      <c r="C42" s="102"/>
      <c r="D42" s="4"/>
      <c r="E42" s="84"/>
      <c r="F42" s="310"/>
      <c r="G42" s="93"/>
    </row>
    <row r="43" spans="1:7" ht="18.5" x14ac:dyDescent="0.35">
      <c r="A43" s="185" t="s">
        <v>27</v>
      </c>
      <c r="B43" s="76" t="s">
        <v>28</v>
      </c>
      <c r="C43" s="102"/>
      <c r="D43" s="4"/>
      <c r="E43" s="84"/>
      <c r="F43" s="310"/>
      <c r="G43" s="93"/>
    </row>
    <row r="44" spans="1:7" ht="16" thickBot="1" x14ac:dyDescent="0.4">
      <c r="A44" s="186" t="s">
        <v>29</v>
      </c>
      <c r="B44" s="95" t="s">
        <v>30</v>
      </c>
      <c r="C44" s="110"/>
      <c r="D44" s="96"/>
      <c r="E44" s="97"/>
      <c r="F44" s="311"/>
      <c r="G44" s="99"/>
    </row>
    <row r="45" spans="1:7" x14ac:dyDescent="0.35">
      <c r="A45" s="187"/>
      <c r="B45" s="6"/>
      <c r="C45" s="6"/>
      <c r="F45" s="312"/>
    </row>
    <row r="46" spans="1:7" x14ac:dyDescent="0.35">
      <c r="A46" s="188"/>
      <c r="B46" s="15"/>
      <c r="C46" s="6"/>
      <c r="F46" s="312"/>
    </row>
    <row r="47" spans="1:7" x14ac:dyDescent="0.35">
      <c r="A47" s="188"/>
      <c r="B47" s="31"/>
      <c r="C47" s="31"/>
      <c r="F47" s="312"/>
    </row>
    <row r="48" spans="1:7" x14ac:dyDescent="0.35">
      <c r="A48" s="189"/>
      <c r="F48" s="312"/>
    </row>
    <row r="49" spans="2:6" ht="15.5" x14ac:dyDescent="0.35">
      <c r="F49" s="313"/>
    </row>
    <row r="50" spans="2:6" x14ac:dyDescent="0.35">
      <c r="F50" s="291"/>
    </row>
    <row r="51" spans="2:6" x14ac:dyDescent="0.35">
      <c r="B51" s="43"/>
      <c r="F51" s="314"/>
    </row>
    <row r="52" spans="2:6" x14ac:dyDescent="0.35">
      <c r="B52" s="44"/>
    </row>
    <row r="54" spans="2:6" x14ac:dyDescent="0.35">
      <c r="B54" s="45"/>
    </row>
  </sheetData>
  <mergeCells count="8">
    <mergeCell ref="A14:C14"/>
    <mergeCell ref="E6:F6"/>
    <mergeCell ref="E7:F7"/>
    <mergeCell ref="E8:F8"/>
    <mergeCell ref="E9:F9"/>
    <mergeCell ref="A13:C13"/>
    <mergeCell ref="E13:G13"/>
    <mergeCell ref="E14:G14"/>
  </mergeCells>
  <phoneticPr fontId="49" type="noConversion"/>
  <dataValidations count="1">
    <dataValidation type="list" allowBlank="1" showInputMessage="1" showErrorMessage="1" sqref="G5" xr:uid="{00000000-0002-0000-0300-000000000000}">
      <formula1>"INVOICE,RECEIPT"</formula1>
    </dataValidation>
  </dataValidations>
  <pageMargins left="0.7" right="0.7" top="0.75" bottom="0.75" header="0.3" footer="0.3"/>
  <pageSetup paperSize="9" scale="74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F9DF-84C5-4532-B63F-C4EA399B9BEA}">
  <dimension ref="A1:G55"/>
  <sheetViews>
    <sheetView view="pageBreakPreview" zoomScale="60" zoomScaleNormal="100" workbookViewId="0">
      <selection activeCell="J6" sqref="J6"/>
    </sheetView>
  </sheetViews>
  <sheetFormatPr defaultRowHeight="14.5" x14ac:dyDescent="0.35"/>
  <cols>
    <col min="1" max="1" width="60.81640625" style="190" bestFit="1" customWidth="1"/>
    <col min="2" max="2" width="10.81640625" customWidth="1"/>
    <col min="3" max="3" width="0.453125" hidden="1" customWidth="1"/>
    <col min="4" max="4" width="12.453125" bestFit="1" customWidth="1"/>
    <col min="5" max="5" width="28.54296875" bestFit="1" customWidth="1"/>
    <col min="6" max="6" width="19.7265625" style="54" customWidth="1"/>
  </cols>
  <sheetData>
    <row r="1" spans="1:6" ht="36.5" x14ac:dyDescent="0.35">
      <c r="A1" s="176"/>
      <c r="B1" s="1"/>
      <c r="C1" s="1"/>
      <c r="E1" s="3"/>
    </row>
    <row r="2" spans="1:6" x14ac:dyDescent="0.35">
      <c r="A2" s="177"/>
      <c r="B2" s="4"/>
      <c r="C2" s="4"/>
      <c r="D2" s="5"/>
      <c r="E2" s="6"/>
    </row>
    <row r="3" spans="1:6" x14ac:dyDescent="0.35">
      <c r="A3" s="177"/>
      <c r="B3" s="4"/>
      <c r="C3" s="4"/>
      <c r="D3" s="5"/>
      <c r="E3" s="6"/>
    </row>
    <row r="4" spans="1:6" x14ac:dyDescent="0.35">
      <c r="A4" s="177"/>
      <c r="B4" s="4"/>
      <c r="C4" s="4"/>
      <c r="D4" s="5"/>
      <c r="E4" s="6"/>
    </row>
    <row r="5" spans="1:6" ht="34.5" x14ac:dyDescent="0.35">
      <c r="A5" s="177"/>
      <c r="B5" s="4"/>
      <c r="C5" s="4"/>
      <c r="E5" s="7"/>
      <c r="F5" s="78" t="s">
        <v>1</v>
      </c>
    </row>
    <row r="6" spans="1:6" ht="19.5" customHeight="1" x14ac:dyDescent="0.35">
      <c r="A6" s="177"/>
      <c r="B6" s="8"/>
      <c r="C6" s="8"/>
      <c r="F6" s="56" t="s">
        <v>3</v>
      </c>
    </row>
    <row r="7" spans="1:6" x14ac:dyDescent="0.35">
      <c r="A7" s="178"/>
      <c r="B7" s="5"/>
      <c r="C7" s="5"/>
      <c r="F7" s="57" t="s">
        <v>82</v>
      </c>
    </row>
    <row r="8" spans="1:6" x14ac:dyDescent="0.35">
      <c r="A8" s="177"/>
      <c r="B8" s="4"/>
      <c r="C8" s="4"/>
      <c r="F8" s="56"/>
    </row>
    <row r="9" spans="1:6" x14ac:dyDescent="0.35">
      <c r="A9" s="178"/>
      <c r="B9" s="5"/>
      <c r="C9" s="5"/>
      <c r="F9" s="58"/>
    </row>
    <row r="10" spans="1:6" x14ac:dyDescent="0.35">
      <c r="A10" s="177"/>
      <c r="B10" s="4"/>
      <c r="C10" s="4"/>
      <c r="D10" s="5"/>
      <c r="E10" s="5"/>
      <c r="F10" s="59"/>
    </row>
    <row r="11" spans="1:6" x14ac:dyDescent="0.35">
      <c r="A11" s="177"/>
      <c r="B11" s="4"/>
      <c r="C11" s="4"/>
      <c r="D11" s="5"/>
      <c r="E11" s="5"/>
      <c r="F11" s="59"/>
    </row>
    <row r="12" spans="1:6" x14ac:dyDescent="0.35">
      <c r="A12" s="178"/>
      <c r="B12" s="5"/>
      <c r="C12" s="5"/>
    </row>
    <row r="13" spans="1:6" x14ac:dyDescent="0.35">
      <c r="A13" s="352" t="s">
        <v>90</v>
      </c>
      <c r="B13" s="332"/>
      <c r="C13" s="333"/>
      <c r="D13" s="346" t="s">
        <v>5</v>
      </c>
      <c r="E13" s="347"/>
      <c r="F13" s="348"/>
    </row>
    <row r="14" spans="1:6" x14ac:dyDescent="0.35">
      <c r="A14" s="179"/>
      <c r="B14" s="12"/>
      <c r="C14" s="12"/>
      <c r="E14" s="11" t="s">
        <v>81</v>
      </c>
      <c r="F14" s="60"/>
    </row>
    <row r="15" spans="1:6" x14ac:dyDescent="0.35">
      <c r="A15" s="180"/>
      <c r="B15" s="11"/>
      <c r="C15" s="11"/>
      <c r="D15" s="11"/>
      <c r="E15" s="11"/>
      <c r="F15" s="61"/>
    </row>
    <row r="16" spans="1:6" x14ac:dyDescent="0.35">
      <c r="A16" s="180"/>
      <c r="B16" s="4"/>
      <c r="C16" s="4"/>
      <c r="E16" s="16" t="s">
        <v>17</v>
      </c>
      <c r="F16" s="118">
        <v>200163666</v>
      </c>
    </row>
    <row r="17" spans="1:7" x14ac:dyDescent="0.35">
      <c r="A17" s="180"/>
      <c r="B17" s="4"/>
      <c r="C17" s="4"/>
      <c r="E17" s="14" t="s">
        <v>31</v>
      </c>
      <c r="F17" s="119">
        <v>712222</v>
      </c>
    </row>
    <row r="18" spans="1:7" x14ac:dyDescent="0.35">
      <c r="A18" s="180"/>
      <c r="B18" s="4"/>
      <c r="C18" s="4"/>
      <c r="D18" s="14"/>
      <c r="E18" s="59"/>
      <c r="F18" s="59"/>
    </row>
    <row r="19" spans="1:7" x14ac:dyDescent="0.35">
      <c r="A19" s="181" t="s">
        <v>11</v>
      </c>
      <c r="B19" s="4"/>
      <c r="C19" s="4"/>
      <c r="D19" s="14"/>
      <c r="E19" s="59"/>
      <c r="F19" s="59"/>
    </row>
    <row r="20" spans="1:7" x14ac:dyDescent="0.35">
      <c r="A20" s="177"/>
      <c r="B20" s="4"/>
      <c r="C20" s="4"/>
      <c r="D20" s="5"/>
      <c r="E20" s="59"/>
      <c r="F20" s="59"/>
    </row>
    <row r="21" spans="1:7" x14ac:dyDescent="0.35">
      <c r="A21" s="142" t="s">
        <v>6</v>
      </c>
      <c r="B21" s="142" t="s">
        <v>12</v>
      </c>
      <c r="C21" s="144" t="s">
        <v>13</v>
      </c>
      <c r="D21" s="144" t="s">
        <v>7</v>
      </c>
      <c r="E21" s="144" t="s">
        <v>18</v>
      </c>
      <c r="F21" s="145" t="s">
        <v>8</v>
      </c>
    </row>
    <row r="22" spans="1:7" ht="15.5" x14ac:dyDescent="0.35">
      <c r="A22" s="200" t="s">
        <v>84</v>
      </c>
      <c r="B22" s="169"/>
      <c r="C22" s="191"/>
      <c r="D22" s="192"/>
      <c r="E22" s="193"/>
      <c r="F22" s="215">
        <f>SUM(E23:E35)</f>
        <v>1180</v>
      </c>
      <c r="G22" s="183"/>
    </row>
    <row r="23" spans="1:7" ht="15.5" x14ac:dyDescent="0.35">
      <c r="A23" s="200"/>
      <c r="B23" s="169" t="s">
        <v>85</v>
      </c>
      <c r="C23" s="191"/>
      <c r="D23" s="191">
        <v>1</v>
      </c>
      <c r="E23" s="174">
        <v>300</v>
      </c>
      <c r="F23" s="174"/>
      <c r="G23" s="183"/>
    </row>
    <row r="24" spans="1:7" ht="15.5" x14ac:dyDescent="0.35">
      <c r="A24" s="199"/>
      <c r="B24" s="169" t="s">
        <v>86</v>
      </c>
      <c r="C24" s="195"/>
      <c r="D24" s="191">
        <v>8</v>
      </c>
      <c r="E24" s="174">
        <v>300</v>
      </c>
      <c r="F24" s="174"/>
    </row>
    <row r="25" spans="1:7" ht="15.5" x14ac:dyDescent="0.35">
      <c r="A25" s="194"/>
      <c r="B25" s="169" t="s">
        <v>87</v>
      </c>
      <c r="C25" s="169"/>
      <c r="D25" s="191">
        <v>1</v>
      </c>
      <c r="E25" s="174">
        <v>100</v>
      </c>
      <c r="F25" s="174"/>
    </row>
    <row r="26" spans="1:7" ht="15.5" x14ac:dyDescent="0.35">
      <c r="A26" s="194" t="s">
        <v>88</v>
      </c>
      <c r="B26" s="169"/>
      <c r="C26" s="169"/>
      <c r="D26" s="192"/>
      <c r="E26" s="174"/>
      <c r="F26" s="174"/>
    </row>
    <row r="27" spans="1:7" ht="15.5" x14ac:dyDescent="0.35">
      <c r="A27" s="194"/>
      <c r="B27" s="169" t="s">
        <v>89</v>
      </c>
      <c r="C27" s="195"/>
      <c r="D27" s="191">
        <v>3</v>
      </c>
      <c r="E27" s="174">
        <v>300</v>
      </c>
      <c r="F27" s="174"/>
    </row>
    <row r="28" spans="1:7" ht="15.5" x14ac:dyDescent="0.35">
      <c r="A28" s="196"/>
      <c r="B28" s="169" t="s">
        <v>83</v>
      </c>
      <c r="C28" s="169"/>
      <c r="D28" s="191">
        <v>6</v>
      </c>
      <c r="E28" s="174">
        <v>180</v>
      </c>
      <c r="F28" s="75"/>
    </row>
    <row r="29" spans="1:7" ht="15.5" x14ac:dyDescent="0.35">
      <c r="A29" s="46"/>
      <c r="B29" s="169"/>
      <c r="C29" s="195"/>
      <c r="D29" s="191"/>
      <c r="E29" s="174"/>
      <c r="F29" s="75"/>
    </row>
    <row r="30" spans="1:7" ht="15.5" x14ac:dyDescent="0.35">
      <c r="A30" s="17"/>
      <c r="B30" s="169"/>
      <c r="C30" s="169"/>
      <c r="D30" s="191"/>
      <c r="E30" s="174"/>
      <c r="F30" s="75"/>
    </row>
    <row r="31" spans="1:7" ht="15.5" x14ac:dyDescent="0.35">
      <c r="A31" s="17"/>
      <c r="B31" s="169"/>
      <c r="C31" s="195"/>
      <c r="D31" s="191"/>
      <c r="E31" s="174"/>
      <c r="F31" s="75"/>
    </row>
    <row r="32" spans="1:7" ht="15.5" x14ac:dyDescent="0.35">
      <c r="A32" s="17"/>
      <c r="B32" s="169"/>
      <c r="C32" s="169"/>
      <c r="D32" s="191"/>
      <c r="E32" s="174"/>
      <c r="F32" s="75"/>
    </row>
    <row r="33" spans="1:6" ht="15.5" x14ac:dyDescent="0.35">
      <c r="A33" s="17"/>
      <c r="B33" s="169"/>
      <c r="C33" s="195"/>
      <c r="D33" s="191"/>
      <c r="E33" s="174"/>
      <c r="F33" s="75"/>
    </row>
    <row r="34" spans="1:6" ht="15.5" x14ac:dyDescent="0.35">
      <c r="A34" s="17"/>
      <c r="B34" s="169"/>
      <c r="C34" s="169"/>
      <c r="D34" s="191"/>
      <c r="E34" s="174"/>
      <c r="F34" s="75"/>
    </row>
    <row r="35" spans="1:6" ht="15.5" x14ac:dyDescent="0.35">
      <c r="A35" s="17"/>
      <c r="B35" s="169"/>
      <c r="C35" s="195"/>
      <c r="D35" s="191"/>
      <c r="E35" s="174"/>
      <c r="F35" s="75"/>
    </row>
    <row r="36" spans="1:6" ht="15.5" x14ac:dyDescent="0.35">
      <c r="A36" s="17"/>
      <c r="B36" s="169"/>
      <c r="C36" s="169"/>
      <c r="D36" s="191"/>
      <c r="E36" s="193"/>
      <c r="F36" s="75"/>
    </row>
    <row r="37" spans="1:6" ht="16" thickBot="1" x14ac:dyDescent="0.4">
      <c r="A37" s="177"/>
      <c r="B37" s="4"/>
      <c r="C37" s="4"/>
      <c r="D37" s="51" t="s">
        <v>9</v>
      </c>
      <c r="E37" s="52"/>
      <c r="F37" s="198">
        <f>SUM(F22:F36)</f>
        <v>1180</v>
      </c>
    </row>
    <row r="38" spans="1:6" ht="16" thickBot="1" x14ac:dyDescent="0.4">
      <c r="A38" s="177"/>
      <c r="B38" s="4"/>
      <c r="C38" s="4"/>
      <c r="D38" s="38"/>
      <c r="F38" s="63"/>
    </row>
    <row r="39" spans="1:6" ht="19" thickBot="1" x14ac:dyDescent="0.4">
      <c r="A39" s="177"/>
      <c r="B39" s="4"/>
      <c r="C39" s="4"/>
      <c r="D39" s="36" t="s">
        <v>10</v>
      </c>
      <c r="E39" s="37"/>
      <c r="F39" s="64">
        <f>F37</f>
        <v>1180</v>
      </c>
    </row>
    <row r="40" spans="1:6" ht="18.5" x14ac:dyDescent="0.35">
      <c r="A40" s="184" t="s">
        <v>20</v>
      </c>
      <c r="B40" s="88" t="s">
        <v>21</v>
      </c>
      <c r="C40" s="109"/>
      <c r="D40" s="90"/>
      <c r="E40" s="90"/>
      <c r="F40" s="93"/>
    </row>
    <row r="41" spans="1:6" ht="18.5" x14ac:dyDescent="0.35">
      <c r="A41" s="185" t="s">
        <v>22</v>
      </c>
      <c r="B41" s="76" t="s">
        <v>38</v>
      </c>
      <c r="C41" s="102"/>
      <c r="D41" s="84"/>
      <c r="E41" s="84"/>
      <c r="F41" s="93"/>
    </row>
    <row r="42" spans="1:6" ht="18.5" x14ac:dyDescent="0.35">
      <c r="A42" s="185" t="s">
        <v>24</v>
      </c>
      <c r="B42" s="86" t="s">
        <v>37</v>
      </c>
      <c r="C42" s="102"/>
      <c r="D42" s="84"/>
      <c r="E42" s="84"/>
      <c r="F42" s="93"/>
    </row>
    <row r="43" spans="1:6" ht="18.5" x14ac:dyDescent="0.35">
      <c r="A43" s="185" t="s">
        <v>26</v>
      </c>
      <c r="B43" s="86">
        <v>3103</v>
      </c>
      <c r="C43" s="102"/>
      <c r="D43" s="84"/>
      <c r="E43" s="84"/>
      <c r="F43" s="93"/>
    </row>
    <row r="44" spans="1:6" ht="18.5" x14ac:dyDescent="0.35">
      <c r="A44" s="185" t="s">
        <v>27</v>
      </c>
      <c r="B44" s="76" t="s">
        <v>28</v>
      </c>
      <c r="C44" s="102"/>
      <c r="D44" s="84"/>
      <c r="E44" s="84"/>
      <c r="F44" s="93"/>
    </row>
    <row r="45" spans="1:6" ht="16" thickBot="1" x14ac:dyDescent="0.4">
      <c r="A45" s="186" t="s">
        <v>29</v>
      </c>
      <c r="B45" s="95" t="s">
        <v>30</v>
      </c>
      <c r="C45" s="110"/>
      <c r="D45" s="97"/>
      <c r="E45" s="98"/>
      <c r="F45" s="99"/>
    </row>
    <row r="46" spans="1:6" x14ac:dyDescent="0.35">
      <c r="A46" s="187"/>
      <c r="B46" s="6"/>
      <c r="C46" s="6"/>
      <c r="E46" s="25"/>
    </row>
    <row r="47" spans="1:6" x14ac:dyDescent="0.35">
      <c r="A47" s="188"/>
      <c r="B47" s="15"/>
      <c r="C47" s="6"/>
      <c r="E47" s="25"/>
    </row>
    <row r="48" spans="1:6" x14ac:dyDescent="0.35">
      <c r="A48" s="188"/>
      <c r="B48" s="31"/>
      <c r="C48" s="31"/>
      <c r="E48" s="25"/>
    </row>
    <row r="49" spans="1:5" x14ac:dyDescent="0.35">
      <c r="A49" s="189"/>
      <c r="E49" s="25"/>
    </row>
    <row r="50" spans="1:5" ht="15.5" x14ac:dyDescent="0.35">
      <c r="E50" s="35"/>
    </row>
    <row r="51" spans="1:5" x14ac:dyDescent="0.35">
      <c r="E51" s="6"/>
    </row>
    <row r="52" spans="1:5" x14ac:dyDescent="0.35">
      <c r="B52" s="43"/>
      <c r="E52" s="31"/>
    </row>
    <row r="53" spans="1:5" x14ac:dyDescent="0.35">
      <c r="B53" s="44"/>
    </row>
    <row r="55" spans="1:5" x14ac:dyDescent="0.35">
      <c r="B55" s="45"/>
    </row>
  </sheetData>
  <mergeCells count="2">
    <mergeCell ref="A13:C13"/>
    <mergeCell ref="D13:F13"/>
  </mergeCells>
  <dataValidations count="1">
    <dataValidation type="list" allowBlank="1" showInputMessage="1" showErrorMessage="1" sqref="F5" xr:uid="{2C44854A-0E4D-4AC2-98C0-92230C706D35}">
      <formula1>"INVOICE,RECEIPT"</formula1>
    </dataValidation>
  </dataValidations>
  <pageMargins left="0.7" right="0.7" top="0.75" bottom="0.75" header="0.3" footer="0.3"/>
  <pageSetup paperSize="9" scale="6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view="pageBreakPreview" zoomScale="112" zoomScaleNormal="100" zoomScaleSheetLayoutView="112" workbookViewId="0">
      <selection activeCell="K5" sqref="K5"/>
    </sheetView>
  </sheetViews>
  <sheetFormatPr defaultRowHeight="14.5" x14ac:dyDescent="0.35"/>
  <cols>
    <col min="1" max="1" width="58.453125" customWidth="1"/>
    <col min="2" max="2" width="8.453125" customWidth="1"/>
    <col min="3" max="3" width="9.1796875" hidden="1" customWidth="1"/>
    <col min="4" max="4" width="0.1796875" customWidth="1"/>
    <col min="5" max="5" width="13.26953125" customWidth="1"/>
    <col min="6" max="6" width="12.54296875" customWidth="1"/>
    <col min="7" max="7" width="19.7265625" style="54" customWidth="1"/>
  </cols>
  <sheetData>
    <row r="1" spans="1:7" ht="36.5" x14ac:dyDescent="0.35">
      <c r="A1" s="1"/>
      <c r="B1" s="1"/>
      <c r="C1" s="1"/>
      <c r="D1" s="2"/>
      <c r="F1" s="3"/>
    </row>
    <row r="2" spans="1:7" x14ac:dyDescent="0.35">
      <c r="A2" s="4"/>
      <c r="B2" s="4"/>
      <c r="C2" s="4"/>
      <c r="D2" s="4"/>
      <c r="E2" s="5"/>
      <c r="F2" s="6"/>
    </row>
    <row r="3" spans="1:7" x14ac:dyDescent="0.35">
      <c r="A3" s="4"/>
      <c r="B3" s="4"/>
      <c r="C3" s="4"/>
      <c r="D3" s="4"/>
      <c r="E3" s="5"/>
      <c r="F3" s="6"/>
    </row>
    <row r="4" spans="1:7" x14ac:dyDescent="0.35">
      <c r="A4" s="4"/>
      <c r="B4" s="4"/>
      <c r="C4" s="4"/>
      <c r="D4" s="4"/>
      <c r="E4" s="5"/>
      <c r="F4" s="6"/>
    </row>
    <row r="5" spans="1:7" ht="34.5" x14ac:dyDescent="0.35">
      <c r="A5" s="4"/>
      <c r="B5" s="4"/>
      <c r="C5" s="4"/>
      <c r="D5" s="4"/>
      <c r="F5" s="7" t="s">
        <v>0</v>
      </c>
      <c r="G5" s="78" t="s">
        <v>1</v>
      </c>
    </row>
    <row r="6" spans="1:7" ht="19.5" customHeight="1" x14ac:dyDescent="0.35">
      <c r="A6" s="4"/>
      <c r="B6" s="8"/>
      <c r="C6" s="8"/>
      <c r="D6" s="4"/>
      <c r="E6" s="334" t="s">
        <v>2</v>
      </c>
      <c r="F6" s="334"/>
      <c r="G6" s="56" t="s">
        <v>3</v>
      </c>
    </row>
    <row r="7" spans="1:7" x14ac:dyDescent="0.35">
      <c r="A7" s="5"/>
      <c r="B7" s="5"/>
      <c r="C7" s="5"/>
      <c r="D7" s="4"/>
      <c r="E7" s="335"/>
      <c r="F7" s="336"/>
      <c r="G7" s="57" t="s">
        <v>64</v>
      </c>
    </row>
    <row r="8" spans="1:7" x14ac:dyDescent="0.35">
      <c r="A8" s="4"/>
      <c r="B8" s="4"/>
      <c r="C8" s="4"/>
      <c r="D8" s="4"/>
      <c r="E8" s="349" t="s">
        <v>19</v>
      </c>
      <c r="F8" s="350"/>
      <c r="G8" s="56" t="s">
        <v>4</v>
      </c>
    </row>
    <row r="9" spans="1:7" x14ac:dyDescent="0.35">
      <c r="A9" s="5"/>
      <c r="B9" s="5"/>
      <c r="C9" s="5"/>
      <c r="D9" s="4"/>
      <c r="E9" s="353" t="s">
        <v>63</v>
      </c>
      <c r="F9" s="354"/>
      <c r="G9" s="58" t="s">
        <v>15</v>
      </c>
    </row>
    <row r="10" spans="1:7" x14ac:dyDescent="0.35">
      <c r="A10" s="4"/>
      <c r="B10" s="4"/>
      <c r="C10" s="4"/>
      <c r="D10" s="5"/>
      <c r="E10" s="5"/>
      <c r="F10" s="5"/>
      <c r="G10" s="59"/>
    </row>
    <row r="11" spans="1:7" x14ac:dyDescent="0.35">
      <c r="A11" s="4"/>
      <c r="B11" s="4"/>
      <c r="C11" s="4"/>
      <c r="D11" s="5"/>
      <c r="E11" s="5"/>
      <c r="F11" s="5"/>
      <c r="G11" s="59"/>
    </row>
    <row r="12" spans="1:7" x14ac:dyDescent="0.35">
      <c r="A12" s="5"/>
      <c r="B12" s="5"/>
      <c r="C12" s="5"/>
      <c r="D12" s="5"/>
    </row>
    <row r="13" spans="1:7" x14ac:dyDescent="0.35">
      <c r="A13" s="344" t="s">
        <v>69</v>
      </c>
      <c r="B13" s="345"/>
      <c r="C13" s="355"/>
      <c r="E13" s="346" t="s">
        <v>5</v>
      </c>
      <c r="F13" s="347"/>
      <c r="G13" s="348"/>
    </row>
    <row r="14" spans="1:7" x14ac:dyDescent="0.35">
      <c r="A14" s="9"/>
      <c r="B14" s="10"/>
      <c r="C14" s="10"/>
      <c r="E14" s="11"/>
      <c r="F14" s="11"/>
      <c r="G14" s="60"/>
    </row>
    <row r="15" spans="1:7" x14ac:dyDescent="0.35">
      <c r="A15" s="12"/>
      <c r="B15" s="4"/>
      <c r="C15" s="4"/>
      <c r="E15" s="12"/>
      <c r="F15" s="12"/>
      <c r="G15" s="61"/>
    </row>
    <row r="16" spans="1:7" x14ac:dyDescent="0.35">
      <c r="A16" s="12"/>
      <c r="B16" s="4"/>
      <c r="C16" s="4"/>
      <c r="E16" s="4"/>
      <c r="F16" s="5"/>
      <c r="G16" s="59"/>
    </row>
    <row r="17" spans="1:7" x14ac:dyDescent="0.35">
      <c r="A17" s="12"/>
      <c r="B17" s="4"/>
      <c r="C17" s="4"/>
      <c r="E17" s="4"/>
      <c r="F17" s="5"/>
      <c r="G17" s="59"/>
    </row>
    <row r="18" spans="1:7" x14ac:dyDescent="0.35">
      <c r="A18" s="12"/>
      <c r="B18" s="4"/>
      <c r="C18" s="4"/>
      <c r="E18" s="4"/>
      <c r="F18" s="5"/>
      <c r="G18" s="59"/>
    </row>
    <row r="19" spans="1:7" x14ac:dyDescent="0.35">
      <c r="A19" s="16" t="s">
        <v>11</v>
      </c>
      <c r="B19" s="4"/>
      <c r="C19" s="4"/>
      <c r="E19" s="4"/>
      <c r="F19" s="5"/>
      <c r="G19" s="59"/>
    </row>
    <row r="20" spans="1:7" x14ac:dyDescent="0.35">
      <c r="A20" s="4"/>
      <c r="B20" s="4"/>
      <c r="C20" s="4"/>
      <c r="D20" s="5"/>
      <c r="E20" s="5"/>
      <c r="F20" s="5"/>
      <c r="G20" s="59"/>
    </row>
    <row r="21" spans="1:7" x14ac:dyDescent="0.35">
      <c r="A21" s="39" t="s">
        <v>6</v>
      </c>
      <c r="B21" s="40" t="s">
        <v>7</v>
      </c>
      <c r="C21" s="40" t="s">
        <v>35</v>
      </c>
      <c r="D21" s="41" t="s">
        <v>13</v>
      </c>
      <c r="E21" s="41" t="s">
        <v>77</v>
      </c>
      <c r="F21" s="41" t="s">
        <v>36</v>
      </c>
      <c r="G21" s="56" t="s">
        <v>76</v>
      </c>
    </row>
    <row r="22" spans="1:7" x14ac:dyDescent="0.35">
      <c r="A22" s="42" t="s">
        <v>65</v>
      </c>
      <c r="B22" s="24">
        <v>1</v>
      </c>
      <c r="C22" s="79">
        <v>6</v>
      </c>
      <c r="D22" s="24">
        <v>10</v>
      </c>
      <c r="E22" s="133">
        <f>17.7*10</f>
        <v>177</v>
      </c>
      <c r="F22" s="53">
        <f>17.7*50</f>
        <v>885</v>
      </c>
      <c r="G22" s="136">
        <f>F22+F23</f>
        <v>885</v>
      </c>
    </row>
    <row r="23" spans="1:7" x14ac:dyDescent="0.35">
      <c r="A23" s="120" t="s">
        <v>66</v>
      </c>
      <c r="B23" s="47" t="s">
        <v>59</v>
      </c>
      <c r="C23" s="47"/>
      <c r="D23" s="48"/>
      <c r="E23" s="133">
        <f>17.7*10</f>
        <v>177</v>
      </c>
      <c r="F23" s="53"/>
      <c r="G23" s="62"/>
    </row>
    <row r="24" spans="1:7" x14ac:dyDescent="0.35">
      <c r="A24" s="132" t="s">
        <v>67</v>
      </c>
      <c r="B24" s="82">
        <v>1</v>
      </c>
      <c r="C24" s="23"/>
      <c r="D24" s="49"/>
      <c r="E24" s="133">
        <f>17.7*10</f>
        <v>177</v>
      </c>
      <c r="F24" s="26"/>
      <c r="G24" s="62"/>
    </row>
    <row r="25" spans="1:7" x14ac:dyDescent="0.35">
      <c r="A25" s="30" t="s">
        <v>68</v>
      </c>
      <c r="B25" s="24">
        <v>1</v>
      </c>
      <c r="C25" s="23"/>
      <c r="D25" s="18"/>
      <c r="E25" s="133">
        <f>17.7*10</f>
        <v>177</v>
      </c>
      <c r="F25" s="27"/>
      <c r="G25" s="62"/>
    </row>
    <row r="26" spans="1:7" x14ac:dyDescent="0.35">
      <c r="A26" s="30"/>
      <c r="B26" s="22"/>
      <c r="C26" s="22"/>
      <c r="D26" s="18"/>
      <c r="E26" s="18"/>
      <c r="F26" s="28"/>
      <c r="G26" s="62"/>
    </row>
    <row r="27" spans="1:7" x14ac:dyDescent="0.35">
      <c r="A27" s="46"/>
      <c r="B27" s="22"/>
      <c r="C27" s="22"/>
      <c r="D27" s="18"/>
      <c r="E27" s="18"/>
      <c r="F27" s="28"/>
      <c r="G27" s="62"/>
    </row>
    <row r="28" spans="1:7" x14ac:dyDescent="0.35">
      <c r="A28" s="17"/>
      <c r="B28" s="22"/>
      <c r="C28" s="22"/>
      <c r="D28" s="18"/>
      <c r="E28" s="18"/>
      <c r="F28" s="28"/>
      <c r="G28" s="62"/>
    </row>
    <row r="29" spans="1:7" x14ac:dyDescent="0.35">
      <c r="A29" s="48"/>
      <c r="B29" s="22"/>
      <c r="C29" s="18"/>
      <c r="D29" s="18"/>
      <c r="E29" s="18"/>
      <c r="F29" s="28"/>
      <c r="G29" s="62"/>
    </row>
    <row r="30" spans="1:7" x14ac:dyDescent="0.35">
      <c r="A30" s="46"/>
      <c r="B30" s="18"/>
      <c r="C30" s="18"/>
      <c r="D30" s="19"/>
      <c r="E30" s="18"/>
      <c r="F30" s="28"/>
      <c r="G30" s="62"/>
    </row>
    <row r="31" spans="1:7" x14ac:dyDescent="0.35">
      <c r="A31" s="17"/>
      <c r="B31" s="18"/>
      <c r="C31" s="18"/>
      <c r="D31" s="24"/>
      <c r="E31" s="24"/>
      <c r="F31" s="29"/>
      <c r="G31" s="62"/>
    </row>
    <row r="32" spans="1:7" x14ac:dyDescent="0.35">
      <c r="A32" s="17"/>
      <c r="B32" s="18"/>
      <c r="C32" s="18"/>
      <c r="D32" s="24"/>
      <c r="E32" s="24"/>
      <c r="F32" s="21"/>
      <c r="G32" s="62"/>
    </row>
    <row r="33" spans="1:7" x14ac:dyDescent="0.35">
      <c r="A33" s="17"/>
      <c r="B33" s="18"/>
      <c r="C33" s="18"/>
      <c r="D33" s="24"/>
      <c r="E33" s="24"/>
      <c r="F33" s="20"/>
      <c r="G33" s="62"/>
    </row>
    <row r="34" spans="1:7" x14ac:dyDescent="0.35">
      <c r="A34" s="17"/>
      <c r="B34" s="18"/>
      <c r="C34" s="18"/>
      <c r="D34" s="24"/>
      <c r="E34" s="24"/>
      <c r="F34" s="20"/>
      <c r="G34" s="62"/>
    </row>
    <row r="35" spans="1:7" x14ac:dyDescent="0.35">
      <c r="A35" s="17"/>
      <c r="B35" s="18"/>
      <c r="C35" s="18"/>
      <c r="D35" s="24"/>
      <c r="E35" s="24"/>
      <c r="F35" s="20"/>
      <c r="G35" s="62"/>
    </row>
    <row r="36" spans="1:7" x14ac:dyDescent="0.35">
      <c r="A36" s="17"/>
      <c r="B36" s="18"/>
      <c r="C36" s="18"/>
      <c r="D36" s="24"/>
      <c r="E36" s="24"/>
      <c r="F36" s="20"/>
      <c r="G36" s="62"/>
    </row>
    <row r="37" spans="1:7" ht="15" thickBot="1" x14ac:dyDescent="0.4">
      <c r="A37" s="17"/>
      <c r="B37" s="23"/>
      <c r="C37" s="23"/>
      <c r="D37" s="24"/>
      <c r="E37" s="24"/>
      <c r="F37" s="20"/>
      <c r="G37" s="62"/>
    </row>
    <row r="38" spans="1:7" ht="16" thickBot="1" x14ac:dyDescent="0.4">
      <c r="A38" s="13"/>
      <c r="B38" s="4"/>
      <c r="C38" s="4"/>
      <c r="D38" s="50"/>
      <c r="E38" s="51" t="s">
        <v>9</v>
      </c>
      <c r="F38" s="52"/>
      <c r="G38" s="116">
        <f>SUM(G22:G22)</f>
        <v>885</v>
      </c>
    </row>
    <row r="39" spans="1:7" ht="16" thickBot="1" x14ac:dyDescent="0.4">
      <c r="A39" s="13"/>
      <c r="B39" s="4"/>
      <c r="C39" s="4"/>
      <c r="D39" s="6"/>
      <c r="E39" s="38"/>
      <c r="G39" s="137"/>
    </row>
    <row r="40" spans="1:7" ht="19" thickBot="1" x14ac:dyDescent="0.4">
      <c r="A40" s="13"/>
      <c r="B40" s="4"/>
      <c r="C40" s="4"/>
      <c r="D40" s="6"/>
      <c r="E40" s="36" t="s">
        <v>10</v>
      </c>
      <c r="F40" s="37"/>
      <c r="G40" s="117">
        <f>G38</f>
        <v>885</v>
      </c>
    </row>
    <row r="41" spans="1:7" ht="18.5" x14ac:dyDescent="0.35">
      <c r="A41" s="87" t="s">
        <v>20</v>
      </c>
      <c r="B41" s="88" t="s">
        <v>70</v>
      </c>
      <c r="C41" s="109"/>
      <c r="D41" s="89"/>
      <c r="E41" s="90"/>
      <c r="F41" s="90"/>
      <c r="G41" s="91"/>
    </row>
    <row r="42" spans="1:7" ht="18.5" x14ac:dyDescent="0.35">
      <c r="A42" s="92" t="s">
        <v>22</v>
      </c>
      <c r="B42" s="76" t="s">
        <v>71</v>
      </c>
      <c r="C42" s="102"/>
      <c r="D42" s="4"/>
      <c r="E42" s="84"/>
      <c r="F42" s="84" t="s">
        <v>75</v>
      </c>
      <c r="G42" s="93"/>
    </row>
    <row r="43" spans="1:7" ht="18.5" x14ac:dyDescent="0.35">
      <c r="A43" s="92" t="s">
        <v>24</v>
      </c>
      <c r="B43" s="134" t="s">
        <v>72</v>
      </c>
      <c r="C43" s="102"/>
      <c r="D43" s="4"/>
      <c r="E43" s="84"/>
      <c r="F43" s="84"/>
      <c r="G43" s="93"/>
    </row>
    <row r="44" spans="1:7" ht="18.5" x14ac:dyDescent="0.35">
      <c r="A44" s="92" t="s">
        <v>26</v>
      </c>
      <c r="B44" s="135">
        <v>254605</v>
      </c>
      <c r="C44" s="102"/>
      <c r="D44" s="4"/>
      <c r="E44" s="84"/>
      <c r="F44" s="84"/>
      <c r="G44" s="93"/>
    </row>
    <row r="45" spans="1:7" ht="18.5" x14ac:dyDescent="0.35">
      <c r="A45" s="92" t="s">
        <v>27</v>
      </c>
      <c r="B45" s="76" t="s">
        <v>74</v>
      </c>
      <c r="C45" s="102"/>
      <c r="D45" s="4"/>
      <c r="E45" s="84"/>
      <c r="F45" s="84"/>
      <c r="G45" s="93"/>
    </row>
    <row r="46" spans="1:7" ht="16" thickBot="1" x14ac:dyDescent="0.4">
      <c r="A46" s="94" t="s">
        <v>29</v>
      </c>
      <c r="B46" s="95" t="s">
        <v>73</v>
      </c>
      <c r="C46" s="110"/>
      <c r="D46" s="96"/>
      <c r="E46" s="97"/>
      <c r="F46" s="98"/>
      <c r="G46" s="99"/>
    </row>
    <row r="47" spans="1:7" x14ac:dyDescent="0.35">
      <c r="A47" s="34"/>
      <c r="B47" s="6"/>
      <c r="C47" s="6"/>
      <c r="F47" s="25"/>
    </row>
    <row r="48" spans="1:7" x14ac:dyDescent="0.35">
      <c r="A48" s="14"/>
      <c r="B48" s="15"/>
      <c r="C48" s="6"/>
      <c r="F48" s="25"/>
    </row>
    <row r="49" spans="1:6" x14ac:dyDescent="0.35">
      <c r="A49" s="14"/>
      <c r="B49" s="31"/>
      <c r="C49" s="31"/>
      <c r="F49" s="25"/>
    </row>
    <row r="50" spans="1:6" x14ac:dyDescent="0.35">
      <c r="A50" s="31"/>
      <c r="F50" s="25"/>
    </row>
    <row r="51" spans="1:6" ht="15.5" x14ac:dyDescent="0.35">
      <c r="F51" s="35"/>
    </row>
    <row r="52" spans="1:6" x14ac:dyDescent="0.35">
      <c r="F52" s="6"/>
    </row>
    <row r="53" spans="1:6" x14ac:dyDescent="0.35">
      <c r="B53" s="43"/>
      <c r="F53" s="31"/>
    </row>
    <row r="54" spans="1:6" x14ac:dyDescent="0.35">
      <c r="B54" s="44"/>
    </row>
    <row r="56" spans="1:6" x14ac:dyDescent="0.35">
      <c r="B56" s="45"/>
    </row>
  </sheetData>
  <mergeCells count="6">
    <mergeCell ref="E6:F6"/>
    <mergeCell ref="E7:F7"/>
    <mergeCell ref="E8:F8"/>
    <mergeCell ref="E9:F9"/>
    <mergeCell ref="A13:C13"/>
    <mergeCell ref="E13:G13"/>
  </mergeCells>
  <dataValidations count="1">
    <dataValidation type="list" allowBlank="1" showInputMessage="1" showErrorMessage="1" sqref="G5" xr:uid="{00000000-0002-0000-0400-000000000000}">
      <formula1>"INVOICE,RECEIPT"</formula1>
    </dataValidation>
  </dataValidations>
  <pageMargins left="0.7" right="0.7" top="0.75" bottom="0.75" header="0.3" footer="0.3"/>
  <pageSetup paperSize="9" scale="7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7"/>
  <sheetViews>
    <sheetView view="pageBreakPreview" zoomScale="85" zoomScaleNormal="100" zoomScaleSheetLayoutView="85" workbookViewId="0">
      <selection activeCell="K6" sqref="K6"/>
    </sheetView>
  </sheetViews>
  <sheetFormatPr defaultRowHeight="14.5" x14ac:dyDescent="0.35"/>
  <cols>
    <col min="1" max="1" width="58.453125" customWidth="1"/>
    <col min="2" max="2" width="8.453125" customWidth="1"/>
    <col min="3" max="3" width="9.1796875" hidden="1" customWidth="1"/>
    <col min="4" max="4" width="0.1796875" customWidth="1"/>
    <col min="5" max="5" width="11.81640625" customWidth="1"/>
    <col min="6" max="6" width="12.54296875" customWidth="1"/>
    <col min="7" max="7" width="19.7265625" style="54" customWidth="1"/>
  </cols>
  <sheetData>
    <row r="1" spans="1:7" ht="36.5" x14ac:dyDescent="0.35">
      <c r="A1" s="1"/>
      <c r="B1" s="1"/>
      <c r="C1" s="1"/>
      <c r="D1" s="2"/>
      <c r="F1" s="3"/>
    </row>
    <row r="2" spans="1:7" x14ac:dyDescent="0.35">
      <c r="A2" s="4"/>
      <c r="B2" s="4"/>
      <c r="C2" s="4"/>
      <c r="D2" s="4"/>
      <c r="E2" s="5"/>
      <c r="F2" s="6"/>
    </row>
    <row r="3" spans="1:7" x14ac:dyDescent="0.35">
      <c r="A3" s="4"/>
      <c r="B3" s="4"/>
      <c r="C3" s="4"/>
      <c r="D3" s="4"/>
      <c r="E3" s="5"/>
      <c r="F3" s="6"/>
    </row>
    <row r="4" spans="1:7" x14ac:dyDescent="0.35">
      <c r="A4" s="4"/>
      <c r="B4" s="4"/>
      <c r="C4" s="4"/>
      <c r="D4" s="4"/>
      <c r="E4" s="5"/>
      <c r="F4" s="6"/>
    </row>
    <row r="5" spans="1:7" ht="34.5" x14ac:dyDescent="0.35">
      <c r="A5" s="4"/>
      <c r="B5" s="4"/>
      <c r="C5" s="4"/>
      <c r="D5" s="4"/>
      <c r="F5" s="7" t="s">
        <v>0</v>
      </c>
      <c r="G5" s="78" t="s">
        <v>1</v>
      </c>
    </row>
    <row r="6" spans="1:7" ht="19.5" customHeight="1" x14ac:dyDescent="0.35">
      <c r="A6" s="4"/>
      <c r="B6" s="8"/>
      <c r="C6" s="8"/>
      <c r="D6" s="4"/>
      <c r="E6" s="334" t="s">
        <v>2</v>
      </c>
      <c r="F6" s="334"/>
      <c r="G6" s="56" t="s">
        <v>3</v>
      </c>
    </row>
    <row r="7" spans="1:7" x14ac:dyDescent="0.35">
      <c r="A7" s="5"/>
      <c r="B7" s="5"/>
      <c r="C7" s="5"/>
      <c r="D7" s="4"/>
      <c r="E7" s="335"/>
      <c r="F7" s="336"/>
      <c r="G7" s="57" t="s">
        <v>97</v>
      </c>
    </row>
    <row r="8" spans="1:7" x14ac:dyDescent="0.35">
      <c r="A8" s="4"/>
      <c r="B8" s="4"/>
      <c r="C8" s="4"/>
      <c r="D8" s="4"/>
      <c r="E8" s="349" t="s">
        <v>19</v>
      </c>
      <c r="F8" s="350"/>
      <c r="G8" s="56" t="s">
        <v>4</v>
      </c>
    </row>
    <row r="9" spans="1:7" x14ac:dyDescent="0.35">
      <c r="A9" s="5"/>
      <c r="B9" s="5"/>
      <c r="C9" s="5"/>
      <c r="D9" s="4"/>
      <c r="E9" s="353"/>
      <c r="F9" s="354"/>
      <c r="G9" s="58" t="s">
        <v>15</v>
      </c>
    </row>
    <row r="10" spans="1:7" x14ac:dyDescent="0.35">
      <c r="A10" s="4"/>
      <c r="B10" s="4"/>
      <c r="C10" s="4"/>
      <c r="D10" s="5"/>
      <c r="E10" s="5"/>
      <c r="F10" s="5"/>
      <c r="G10" s="59"/>
    </row>
    <row r="11" spans="1:7" x14ac:dyDescent="0.35">
      <c r="A11" s="4"/>
      <c r="B11" s="4"/>
      <c r="C11" s="4"/>
      <c r="D11" s="5"/>
      <c r="E11" s="5"/>
      <c r="F11" s="5"/>
      <c r="G11" s="59"/>
    </row>
    <row r="12" spans="1:7" x14ac:dyDescent="0.35">
      <c r="A12" s="5"/>
      <c r="B12" s="5"/>
      <c r="C12" s="5"/>
      <c r="D12" s="5"/>
    </row>
    <row r="13" spans="1:7" x14ac:dyDescent="0.35">
      <c r="A13" s="356" t="s">
        <v>98</v>
      </c>
      <c r="B13" s="332"/>
      <c r="C13" s="333"/>
      <c r="E13" s="346" t="s">
        <v>5</v>
      </c>
      <c r="F13" s="347"/>
      <c r="G13" s="348"/>
    </row>
    <row r="14" spans="1:7" x14ac:dyDescent="0.35">
      <c r="A14" s="9"/>
      <c r="B14" s="10"/>
      <c r="C14" s="10"/>
      <c r="E14" s="11"/>
      <c r="F14" s="11"/>
      <c r="G14" s="60"/>
    </row>
    <row r="15" spans="1:7" x14ac:dyDescent="0.35">
      <c r="A15" s="12"/>
      <c r="B15" s="4"/>
      <c r="C15" s="4"/>
      <c r="E15" s="12"/>
      <c r="F15" s="12"/>
      <c r="G15" s="61"/>
    </row>
    <row r="16" spans="1:7" x14ac:dyDescent="0.35">
      <c r="A16" s="12"/>
      <c r="B16" s="4"/>
      <c r="C16" s="4"/>
      <c r="E16" s="4"/>
      <c r="F16" s="5"/>
      <c r="G16" s="59"/>
    </row>
    <row r="17" spans="1:7" x14ac:dyDescent="0.35">
      <c r="A17" s="12"/>
      <c r="B17" s="4"/>
      <c r="C17" s="4"/>
      <c r="E17" s="4"/>
      <c r="F17" s="5"/>
      <c r="G17" s="59"/>
    </row>
    <row r="18" spans="1:7" x14ac:dyDescent="0.35">
      <c r="A18" s="12"/>
      <c r="B18" s="4"/>
      <c r="C18" s="4"/>
      <c r="E18" s="4"/>
      <c r="F18" s="5"/>
      <c r="G18" s="59"/>
    </row>
    <row r="19" spans="1:7" x14ac:dyDescent="0.35">
      <c r="A19" s="16" t="s">
        <v>11</v>
      </c>
      <c r="B19" s="4"/>
      <c r="C19" s="4"/>
      <c r="E19" s="4"/>
      <c r="F19" s="5"/>
      <c r="G19" s="59"/>
    </row>
    <row r="20" spans="1:7" x14ac:dyDescent="0.35">
      <c r="A20" s="4"/>
      <c r="B20" s="4"/>
      <c r="C20" s="4"/>
      <c r="D20" s="5"/>
      <c r="E20" s="5"/>
      <c r="F20" s="5"/>
      <c r="G20" s="59"/>
    </row>
    <row r="21" spans="1:7" x14ac:dyDescent="0.35">
      <c r="A21" s="39" t="s">
        <v>6</v>
      </c>
      <c r="B21" s="40" t="s">
        <v>7</v>
      </c>
      <c r="C21" s="40" t="s">
        <v>35</v>
      </c>
      <c r="D21" s="41" t="s">
        <v>13</v>
      </c>
      <c r="E21" s="41" t="s">
        <v>39</v>
      </c>
      <c r="F21" s="41" t="s">
        <v>36</v>
      </c>
      <c r="G21" s="77" t="s">
        <v>58</v>
      </c>
    </row>
    <row r="22" spans="1:7" ht="15.5" x14ac:dyDescent="0.35">
      <c r="A22" s="248" t="s">
        <v>99</v>
      </c>
      <c r="B22" s="169"/>
      <c r="C22" s="169"/>
      <c r="D22" s="171"/>
      <c r="E22" s="171"/>
      <c r="F22" s="218"/>
      <c r="G22" s="174">
        <f>SUM(F22:F27)</f>
        <v>130</v>
      </c>
    </row>
    <row r="23" spans="1:7" ht="15.5" x14ac:dyDescent="0.35">
      <c r="A23" s="244">
        <v>76090</v>
      </c>
      <c r="B23" s="244">
        <v>2</v>
      </c>
      <c r="C23" s="169"/>
      <c r="D23" s="171"/>
      <c r="E23" s="249">
        <v>50</v>
      </c>
      <c r="F23" s="249">
        <v>50</v>
      </c>
      <c r="G23" s="174"/>
    </row>
    <row r="24" spans="1:7" ht="15.5" x14ac:dyDescent="0.35">
      <c r="A24" s="244">
        <v>76281</v>
      </c>
      <c r="B24" s="18" t="s">
        <v>95</v>
      </c>
      <c r="C24" s="171"/>
      <c r="D24" s="171"/>
      <c r="E24" s="249">
        <v>20</v>
      </c>
      <c r="F24" s="249">
        <v>20</v>
      </c>
      <c r="G24" s="174"/>
    </row>
    <row r="25" spans="1:7" ht="15.5" x14ac:dyDescent="0.35">
      <c r="A25" s="244">
        <v>70009</v>
      </c>
      <c r="B25" s="171" t="s">
        <v>59</v>
      </c>
      <c r="C25" s="171"/>
      <c r="D25" s="171"/>
      <c r="E25" s="249">
        <v>60</v>
      </c>
      <c r="F25" s="249">
        <v>60</v>
      </c>
      <c r="G25" s="174"/>
    </row>
    <row r="26" spans="1:7" ht="15.5" x14ac:dyDescent="0.35">
      <c r="A26" s="170"/>
      <c r="B26" s="171"/>
      <c r="C26" s="171"/>
      <c r="D26" s="191"/>
      <c r="E26" s="225"/>
      <c r="F26" s="226"/>
      <c r="G26" s="174"/>
    </row>
    <row r="27" spans="1:7" ht="15.5" x14ac:dyDescent="0.35">
      <c r="A27" s="220"/>
      <c r="B27" s="171"/>
      <c r="C27" s="171"/>
      <c r="D27" s="191"/>
      <c r="E27" s="225"/>
      <c r="F27" s="226"/>
      <c r="G27" s="174"/>
    </row>
    <row r="28" spans="1:7" ht="15.5" x14ac:dyDescent="0.35">
      <c r="A28" s="172"/>
      <c r="B28" s="172"/>
      <c r="C28" s="171"/>
      <c r="D28" s="191"/>
      <c r="E28" s="227"/>
      <c r="F28" s="227"/>
      <c r="G28" s="174"/>
    </row>
    <row r="29" spans="1:7" ht="15.5" x14ac:dyDescent="0.35">
      <c r="A29" s="172"/>
      <c r="B29" s="171"/>
      <c r="C29" s="171"/>
      <c r="D29" s="191"/>
      <c r="E29" s="227"/>
      <c r="F29" s="227"/>
      <c r="G29" s="174"/>
    </row>
    <row r="30" spans="1:7" ht="15.5" x14ac:dyDescent="0.35">
      <c r="A30" s="169"/>
      <c r="B30" s="171"/>
      <c r="C30" s="171"/>
      <c r="D30" s="191"/>
      <c r="E30" s="227"/>
      <c r="F30" s="227"/>
      <c r="G30" s="174"/>
    </row>
    <row r="31" spans="1:7" ht="15.5" x14ac:dyDescent="0.35">
      <c r="A31" s="170"/>
      <c r="B31" s="171"/>
      <c r="C31" s="171"/>
      <c r="D31" s="191"/>
      <c r="E31" s="225"/>
      <c r="F31" s="226"/>
      <c r="G31" s="174"/>
    </row>
    <row r="32" spans="1:7" x14ac:dyDescent="0.35">
      <c r="A32" s="17"/>
      <c r="B32" s="18"/>
      <c r="C32" s="18"/>
      <c r="D32" s="24"/>
      <c r="E32" s="221"/>
      <c r="F32" s="222"/>
      <c r="G32" s="75"/>
    </row>
    <row r="33" spans="1:7" ht="15.5" x14ac:dyDescent="0.35">
      <c r="A33" s="17"/>
      <c r="B33" s="18"/>
      <c r="C33" s="18"/>
      <c r="D33" s="24"/>
      <c r="E33" s="24"/>
      <c r="F33" s="21"/>
      <c r="G33" s="174"/>
    </row>
    <row r="34" spans="1:7" x14ac:dyDescent="0.35">
      <c r="A34" s="17"/>
      <c r="B34" s="22"/>
      <c r="C34" s="18"/>
      <c r="D34" s="24"/>
      <c r="E34" s="219"/>
      <c r="F34" s="219"/>
      <c r="G34" s="75"/>
    </row>
    <row r="35" spans="1:7" x14ac:dyDescent="0.35">
      <c r="A35" s="17"/>
      <c r="B35" s="22"/>
      <c r="C35" s="18"/>
      <c r="D35" s="24"/>
      <c r="E35" s="219"/>
      <c r="F35" s="219"/>
      <c r="G35" s="75"/>
    </row>
    <row r="36" spans="1:7" x14ac:dyDescent="0.35">
      <c r="A36" s="17"/>
      <c r="B36" s="22"/>
      <c r="C36" s="18"/>
      <c r="D36" s="24"/>
      <c r="E36" s="219"/>
      <c r="F36" s="219"/>
      <c r="G36" s="75"/>
    </row>
    <row r="37" spans="1:7" x14ac:dyDescent="0.35">
      <c r="A37" s="17"/>
      <c r="B37" s="18"/>
      <c r="C37" s="18"/>
      <c r="D37" s="24"/>
      <c r="E37" s="24"/>
      <c r="F37" s="20"/>
      <c r="G37" s="75"/>
    </row>
    <row r="38" spans="1:7" x14ac:dyDescent="0.35">
      <c r="A38" s="17"/>
      <c r="B38" s="23"/>
      <c r="C38" s="23"/>
      <c r="D38" s="24"/>
      <c r="E38" s="24"/>
      <c r="F38" s="20"/>
      <c r="G38" s="75"/>
    </row>
    <row r="39" spans="1:7" ht="15.5" x14ac:dyDescent="0.35">
      <c r="A39" s="23"/>
      <c r="B39" s="23"/>
      <c r="C39" s="23"/>
      <c r="D39" s="202"/>
      <c r="E39" s="223" t="s">
        <v>9</v>
      </c>
      <c r="F39" s="223"/>
      <c r="G39" s="224">
        <f>SUM(G22:G38)</f>
        <v>130</v>
      </c>
    </row>
    <row r="40" spans="1:7" ht="16" thickBot="1" x14ac:dyDescent="0.4">
      <c r="A40" s="13"/>
      <c r="B40" s="4"/>
      <c r="C40" s="4"/>
      <c r="D40" s="6"/>
      <c r="E40" s="38"/>
      <c r="G40" s="63"/>
    </row>
    <row r="41" spans="1:7" ht="19" thickBot="1" x14ac:dyDescent="0.4">
      <c r="A41" s="13"/>
      <c r="B41" s="4"/>
      <c r="C41" s="4"/>
      <c r="D41" s="6"/>
      <c r="E41" s="36" t="s">
        <v>10</v>
      </c>
      <c r="F41" s="37"/>
      <c r="G41" s="64">
        <f>G39</f>
        <v>130</v>
      </c>
    </row>
    <row r="42" spans="1:7" ht="18.5" x14ac:dyDescent="0.35">
      <c r="A42" s="87" t="s">
        <v>20</v>
      </c>
      <c r="B42" s="88" t="s">
        <v>60</v>
      </c>
      <c r="C42" s="109"/>
      <c r="D42" s="89"/>
      <c r="E42" s="90"/>
      <c r="F42" s="90"/>
      <c r="G42" s="91"/>
    </row>
    <row r="43" spans="1:7" ht="18.5" x14ac:dyDescent="0.35">
      <c r="A43" s="92" t="s">
        <v>22</v>
      </c>
      <c r="B43" s="76" t="s">
        <v>38</v>
      </c>
      <c r="C43" s="102"/>
      <c r="D43" s="4"/>
      <c r="E43" s="84"/>
      <c r="F43" s="84"/>
      <c r="G43" s="93"/>
    </row>
    <row r="44" spans="1:7" ht="18.5" x14ac:dyDescent="0.35">
      <c r="A44" s="92" t="s">
        <v>24</v>
      </c>
      <c r="B44" s="86" t="s">
        <v>61</v>
      </c>
      <c r="C44" s="102"/>
      <c r="D44" s="4"/>
      <c r="E44" s="84"/>
      <c r="F44" s="84"/>
      <c r="G44" s="93"/>
    </row>
    <row r="45" spans="1:7" ht="18.5" x14ac:dyDescent="0.35">
      <c r="A45" s="92" t="s">
        <v>26</v>
      </c>
      <c r="B45" s="86">
        <v>3125</v>
      </c>
      <c r="C45" s="102"/>
      <c r="D45" s="4"/>
      <c r="E45" s="84"/>
      <c r="F45" s="84"/>
      <c r="G45" s="93"/>
    </row>
    <row r="46" spans="1:7" ht="18.5" x14ac:dyDescent="0.35">
      <c r="A46" s="92" t="s">
        <v>27</v>
      </c>
      <c r="B46" s="76" t="s">
        <v>62</v>
      </c>
      <c r="C46" s="102"/>
      <c r="D46" s="4"/>
      <c r="E46" s="84"/>
      <c r="F46" s="84"/>
      <c r="G46" s="93"/>
    </row>
    <row r="47" spans="1:7" ht="16" thickBot="1" x14ac:dyDescent="0.4">
      <c r="A47" s="94"/>
      <c r="B47" s="95"/>
      <c r="C47" s="110"/>
      <c r="D47" s="96"/>
      <c r="E47" s="97"/>
      <c r="F47" s="98"/>
      <c r="G47" s="99"/>
    </row>
    <row r="48" spans="1:7" x14ac:dyDescent="0.35">
      <c r="A48" s="34"/>
      <c r="B48" s="6"/>
      <c r="C48" s="6"/>
      <c r="F48" s="25"/>
    </row>
    <row r="49" spans="1:6" x14ac:dyDescent="0.35">
      <c r="A49" s="14"/>
      <c r="B49" s="15"/>
      <c r="C49" s="6"/>
      <c r="F49" s="25"/>
    </row>
    <row r="50" spans="1:6" x14ac:dyDescent="0.35">
      <c r="A50" s="14"/>
      <c r="B50" s="31"/>
      <c r="C50" s="31"/>
      <c r="F50" s="25"/>
    </row>
    <row r="51" spans="1:6" x14ac:dyDescent="0.35">
      <c r="A51" s="31"/>
      <c r="F51" s="25"/>
    </row>
    <row r="52" spans="1:6" ht="15.5" x14ac:dyDescent="0.35">
      <c r="F52" s="35"/>
    </row>
    <row r="53" spans="1:6" x14ac:dyDescent="0.35">
      <c r="F53" s="6"/>
    </row>
    <row r="54" spans="1:6" x14ac:dyDescent="0.35">
      <c r="B54" s="43"/>
      <c r="F54" s="31"/>
    </row>
    <row r="55" spans="1:6" x14ac:dyDescent="0.35">
      <c r="B55" s="44"/>
    </row>
    <row r="57" spans="1:6" x14ac:dyDescent="0.35">
      <c r="B57" s="45"/>
    </row>
  </sheetData>
  <mergeCells count="6">
    <mergeCell ref="E6:F6"/>
    <mergeCell ref="E7:F7"/>
    <mergeCell ref="E8:F8"/>
    <mergeCell ref="E9:F9"/>
    <mergeCell ref="A13:C13"/>
    <mergeCell ref="E13:G13"/>
  </mergeCells>
  <phoneticPr fontId="49" type="noConversion"/>
  <dataValidations count="1">
    <dataValidation type="list" allowBlank="1" showInputMessage="1" showErrorMessage="1" sqref="G5" xr:uid="{00000000-0002-0000-0500-000000000000}">
      <formula1>"INVOICE,RECEIPT"</formula1>
    </dataValidation>
  </dataValidations>
  <pageMargins left="0.7" right="0.7" top="0.75" bottom="0.75" header="0.3" footer="0.3"/>
  <pageSetup paperSize="9" scale="7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3"/>
  <sheetViews>
    <sheetView zoomScale="142" zoomScaleNormal="100" workbookViewId="0">
      <selection activeCell="G42" sqref="G42"/>
    </sheetView>
  </sheetViews>
  <sheetFormatPr defaultRowHeight="14.5" x14ac:dyDescent="0.35"/>
  <cols>
    <col min="1" max="1" width="58.453125" customWidth="1"/>
    <col min="2" max="2" width="8.453125" customWidth="1"/>
    <col min="3" max="3" width="9.1796875" hidden="1" customWidth="1"/>
    <col min="4" max="4" width="0.1796875" customWidth="1"/>
    <col min="5" max="5" width="11.81640625" customWidth="1"/>
    <col min="6" max="6" width="12.54296875" customWidth="1"/>
    <col min="7" max="7" width="19.7265625" style="54" customWidth="1"/>
  </cols>
  <sheetData>
    <row r="1" spans="1:7" ht="36.5" x14ac:dyDescent="0.35">
      <c r="A1" s="1"/>
      <c r="B1" s="1"/>
      <c r="C1" s="1"/>
      <c r="D1" s="2"/>
      <c r="F1" s="3"/>
    </row>
    <row r="2" spans="1:7" x14ac:dyDescent="0.35">
      <c r="A2" s="4"/>
      <c r="B2" s="4"/>
      <c r="C2" s="4"/>
      <c r="D2" s="4"/>
      <c r="E2" s="5"/>
      <c r="F2" s="6"/>
    </row>
    <row r="3" spans="1:7" x14ac:dyDescent="0.35">
      <c r="A3" s="4"/>
      <c r="B3" s="4"/>
      <c r="C3" s="4"/>
      <c r="D3" s="4"/>
      <c r="E3" s="5"/>
      <c r="F3" s="6"/>
    </row>
    <row r="4" spans="1:7" x14ac:dyDescent="0.35">
      <c r="A4" s="4"/>
      <c r="B4" s="4"/>
      <c r="C4" s="4"/>
      <c r="D4" s="4"/>
      <c r="E4" s="5"/>
      <c r="F4" s="6"/>
    </row>
    <row r="5" spans="1:7" ht="34.5" x14ac:dyDescent="0.35">
      <c r="A5" s="4"/>
      <c r="B5" s="4"/>
      <c r="C5" s="4"/>
      <c r="D5" s="4"/>
      <c r="F5" s="7" t="s">
        <v>0</v>
      </c>
      <c r="G5" s="78" t="s">
        <v>1</v>
      </c>
    </row>
    <row r="6" spans="1:7" ht="19.5" customHeight="1" x14ac:dyDescent="0.35">
      <c r="A6" s="4"/>
      <c r="B6" s="8"/>
      <c r="C6" s="8"/>
      <c r="D6" s="4"/>
      <c r="E6" s="334" t="s">
        <v>2</v>
      </c>
      <c r="F6" s="334"/>
      <c r="G6" s="56" t="s">
        <v>3</v>
      </c>
    </row>
    <row r="7" spans="1:7" x14ac:dyDescent="0.35">
      <c r="A7" s="5"/>
      <c r="B7" s="5"/>
      <c r="C7" s="5"/>
      <c r="D7" s="4"/>
      <c r="E7" s="335"/>
      <c r="F7" s="336"/>
      <c r="G7" s="57" t="s">
        <v>55</v>
      </c>
    </row>
    <row r="8" spans="1:7" x14ac:dyDescent="0.35">
      <c r="A8" s="4"/>
      <c r="B8" s="4"/>
      <c r="C8" s="4"/>
      <c r="D8" s="4"/>
      <c r="E8" s="349" t="s">
        <v>19</v>
      </c>
      <c r="F8" s="350"/>
      <c r="G8" s="56" t="s">
        <v>4</v>
      </c>
    </row>
    <row r="9" spans="1:7" x14ac:dyDescent="0.35">
      <c r="A9" s="5"/>
      <c r="B9" s="5"/>
      <c r="C9" s="5"/>
      <c r="D9" s="4"/>
      <c r="E9" s="357"/>
      <c r="F9" s="358"/>
      <c r="G9" s="58" t="s">
        <v>15</v>
      </c>
    </row>
    <row r="10" spans="1:7" x14ac:dyDescent="0.35">
      <c r="A10" s="4"/>
      <c r="B10" s="4"/>
      <c r="C10" s="4"/>
      <c r="D10" s="5"/>
      <c r="E10" s="5"/>
      <c r="F10" s="5"/>
      <c r="G10" s="59"/>
    </row>
    <row r="11" spans="1:7" x14ac:dyDescent="0.35">
      <c r="A11" s="4"/>
      <c r="B11" s="4"/>
      <c r="C11" s="4"/>
      <c r="D11" s="5"/>
      <c r="E11" s="5"/>
      <c r="F11" s="5"/>
      <c r="G11" s="59"/>
    </row>
    <row r="12" spans="1:7" x14ac:dyDescent="0.35">
      <c r="A12" s="5"/>
      <c r="B12" s="5"/>
      <c r="C12" s="5"/>
      <c r="D12" s="5"/>
    </row>
    <row r="13" spans="1:7" x14ac:dyDescent="0.35">
      <c r="A13" s="344" t="s">
        <v>40</v>
      </c>
      <c r="B13" s="345"/>
      <c r="C13" s="355"/>
      <c r="E13" s="346" t="s">
        <v>5</v>
      </c>
      <c r="F13" s="347"/>
      <c r="G13" s="348"/>
    </row>
    <row r="14" spans="1:7" x14ac:dyDescent="0.35">
      <c r="A14" s="9"/>
      <c r="B14" s="10"/>
      <c r="C14" s="10"/>
      <c r="E14" s="11"/>
      <c r="F14" s="11"/>
      <c r="G14" s="60"/>
    </row>
    <row r="15" spans="1:7" x14ac:dyDescent="0.35">
      <c r="A15" s="12"/>
      <c r="B15" s="4"/>
      <c r="C15" s="4"/>
      <c r="E15" s="12"/>
      <c r="F15" s="12"/>
      <c r="G15" s="61"/>
    </row>
    <row r="16" spans="1:7" x14ac:dyDescent="0.35">
      <c r="A16" s="12"/>
      <c r="B16" s="4"/>
      <c r="C16" s="4"/>
      <c r="E16" s="4"/>
      <c r="F16" s="5"/>
      <c r="G16" s="59"/>
    </row>
    <row r="17" spans="1:7" x14ac:dyDescent="0.35">
      <c r="A17" s="12"/>
      <c r="B17" s="4"/>
      <c r="C17" s="4"/>
      <c r="E17" s="4"/>
      <c r="F17" s="5"/>
      <c r="G17" s="59"/>
    </row>
    <row r="18" spans="1:7" x14ac:dyDescent="0.35">
      <c r="A18" s="12"/>
      <c r="B18" s="4"/>
      <c r="C18" s="4"/>
      <c r="E18" s="4"/>
      <c r="F18" s="5"/>
      <c r="G18" s="59"/>
    </row>
    <row r="19" spans="1:7" x14ac:dyDescent="0.35">
      <c r="A19" s="16" t="s">
        <v>11</v>
      </c>
      <c r="B19" s="4"/>
      <c r="C19" s="4"/>
      <c r="E19" s="4"/>
      <c r="F19" s="5"/>
      <c r="G19" s="59"/>
    </row>
    <row r="20" spans="1:7" x14ac:dyDescent="0.35">
      <c r="A20" s="4"/>
      <c r="B20" s="4"/>
      <c r="C20" s="4"/>
      <c r="D20" s="5"/>
      <c r="E20" s="5"/>
      <c r="F20" s="5"/>
      <c r="G20" s="59"/>
    </row>
    <row r="21" spans="1:7" x14ac:dyDescent="0.35">
      <c r="A21" s="39" t="s">
        <v>6</v>
      </c>
      <c r="B21" s="40" t="s">
        <v>7</v>
      </c>
      <c r="C21" s="40" t="s">
        <v>35</v>
      </c>
      <c r="D21" s="41" t="s">
        <v>13</v>
      </c>
      <c r="E21" s="41" t="s">
        <v>39</v>
      </c>
      <c r="F21" s="41" t="s">
        <v>56</v>
      </c>
      <c r="G21" s="56" t="s">
        <v>57</v>
      </c>
    </row>
    <row r="22" spans="1:7" x14ac:dyDescent="0.35">
      <c r="A22" s="42" t="s">
        <v>54</v>
      </c>
      <c r="B22" s="24">
        <v>1</v>
      </c>
      <c r="C22" s="79">
        <v>6</v>
      </c>
      <c r="D22" s="24">
        <f>750*250</f>
        <v>187500</v>
      </c>
      <c r="E22" s="114">
        <v>140</v>
      </c>
      <c r="F22" s="53">
        <v>107</v>
      </c>
      <c r="G22" s="115">
        <f>F22:F22</f>
        <v>107</v>
      </c>
    </row>
    <row r="23" spans="1:7" x14ac:dyDescent="0.35">
      <c r="A23" s="48"/>
      <c r="B23" s="47"/>
      <c r="C23" s="47"/>
      <c r="D23" s="48"/>
      <c r="E23" s="49"/>
      <c r="F23" s="26"/>
      <c r="G23" s="62"/>
    </row>
    <row r="24" spans="1:7" x14ac:dyDescent="0.35">
      <c r="A24" s="48"/>
      <c r="B24" s="24"/>
      <c r="C24" s="23"/>
      <c r="D24" s="49"/>
      <c r="E24" s="49"/>
      <c r="F24" s="26"/>
      <c r="G24" s="62"/>
    </row>
    <row r="25" spans="1:7" x14ac:dyDescent="0.35">
      <c r="A25" s="30"/>
      <c r="B25" s="23"/>
      <c r="C25" s="23"/>
      <c r="D25" s="18"/>
      <c r="E25" s="18"/>
      <c r="F25" s="27"/>
      <c r="G25" s="62"/>
    </row>
    <row r="26" spans="1:7" x14ac:dyDescent="0.35">
      <c r="A26" s="30"/>
      <c r="B26" s="22"/>
      <c r="C26" s="22"/>
      <c r="D26" s="18"/>
      <c r="E26" s="18"/>
      <c r="F26" s="28"/>
      <c r="G26" s="62"/>
    </row>
    <row r="27" spans="1:7" hidden="1" x14ac:dyDescent="0.35">
      <c r="A27" s="46"/>
      <c r="B27" s="22"/>
      <c r="C27" s="22"/>
      <c r="D27" s="18"/>
      <c r="E27" s="18"/>
      <c r="F27" s="28"/>
      <c r="G27" s="62"/>
    </row>
    <row r="28" spans="1:7" hidden="1" x14ac:dyDescent="0.35">
      <c r="A28" s="17"/>
      <c r="B28" s="22"/>
      <c r="C28" s="22"/>
      <c r="D28" s="18"/>
      <c r="E28" s="18"/>
      <c r="F28" s="28"/>
      <c r="G28" s="62"/>
    </row>
    <row r="29" spans="1:7" hidden="1" x14ac:dyDescent="0.35">
      <c r="A29" s="48"/>
      <c r="B29" s="22"/>
      <c r="C29" s="18"/>
      <c r="D29" s="18"/>
      <c r="E29" s="18"/>
      <c r="F29" s="28"/>
      <c r="G29" s="62"/>
    </row>
    <row r="30" spans="1:7" hidden="1" x14ac:dyDescent="0.35">
      <c r="A30" s="46"/>
      <c r="B30" s="18"/>
      <c r="C30" s="18"/>
      <c r="D30" s="19"/>
      <c r="E30" s="18"/>
      <c r="F30" s="28"/>
      <c r="G30" s="62"/>
    </row>
    <row r="31" spans="1:7" hidden="1" x14ac:dyDescent="0.35">
      <c r="A31" s="17"/>
      <c r="B31" s="18"/>
      <c r="C31" s="18"/>
      <c r="D31" s="24"/>
      <c r="E31" s="24"/>
      <c r="F31" s="29"/>
      <c r="G31" s="62"/>
    </row>
    <row r="32" spans="1:7" hidden="1" x14ac:dyDescent="0.35">
      <c r="A32" s="17"/>
      <c r="B32" s="18"/>
      <c r="C32" s="18"/>
      <c r="D32" s="24"/>
      <c r="E32" s="24"/>
      <c r="F32" s="21"/>
      <c r="G32" s="62"/>
    </row>
    <row r="33" spans="1:7" hidden="1" x14ac:dyDescent="0.35">
      <c r="A33" s="17"/>
      <c r="B33" s="18"/>
      <c r="C33" s="18"/>
      <c r="D33" s="24"/>
      <c r="E33" s="24"/>
      <c r="F33" s="20"/>
      <c r="G33" s="62"/>
    </row>
    <row r="34" spans="1:7" hidden="1" x14ac:dyDescent="0.35">
      <c r="A34" s="17"/>
      <c r="B34" s="18"/>
      <c r="C34" s="18"/>
      <c r="D34" s="24"/>
      <c r="E34" s="24"/>
      <c r="F34" s="20"/>
      <c r="G34" s="62"/>
    </row>
    <row r="35" spans="1:7" hidden="1" x14ac:dyDescent="0.35">
      <c r="A35" s="17"/>
      <c r="B35" s="18"/>
      <c r="C35" s="18"/>
      <c r="D35" s="24"/>
      <c r="E35" s="24"/>
      <c r="F35" s="20"/>
      <c r="G35" s="62"/>
    </row>
    <row r="36" spans="1:7" x14ac:dyDescent="0.35">
      <c r="A36" s="17"/>
      <c r="B36" s="18"/>
      <c r="C36" s="18"/>
      <c r="D36" s="24"/>
      <c r="E36" s="24"/>
      <c r="F36" s="20"/>
      <c r="G36" s="62"/>
    </row>
    <row r="37" spans="1:7" ht="15" thickBot="1" x14ac:dyDescent="0.4">
      <c r="A37" s="17"/>
      <c r="B37" s="23"/>
      <c r="C37" s="23"/>
      <c r="D37" s="24"/>
      <c r="E37" s="24"/>
      <c r="F37" s="20"/>
      <c r="G37" s="62"/>
    </row>
    <row r="38" spans="1:7" ht="16" thickBot="1" x14ac:dyDescent="0.4">
      <c r="A38" s="13"/>
      <c r="B38" s="4"/>
      <c r="C38" s="4"/>
      <c r="D38" s="50"/>
      <c r="E38" s="51" t="s">
        <v>9</v>
      </c>
      <c r="F38" s="52"/>
      <c r="G38" s="116">
        <f>SUM(G22:G22)</f>
        <v>107</v>
      </c>
    </row>
    <row r="39" spans="1:7" ht="16" thickBot="1" x14ac:dyDescent="0.4">
      <c r="A39" s="13"/>
      <c r="B39" s="4"/>
      <c r="C39" s="4"/>
      <c r="D39" s="6"/>
      <c r="E39" s="38"/>
      <c r="G39" s="63"/>
    </row>
    <row r="40" spans="1:7" ht="19" thickBot="1" x14ac:dyDescent="0.4">
      <c r="A40" s="13"/>
      <c r="B40" s="4"/>
      <c r="C40" s="4"/>
      <c r="D40" s="6"/>
      <c r="E40" s="36" t="s">
        <v>10</v>
      </c>
      <c r="F40" s="37"/>
      <c r="G40" s="117">
        <f>G38</f>
        <v>107</v>
      </c>
    </row>
    <row r="41" spans="1:7" ht="18.5" x14ac:dyDescent="0.35">
      <c r="A41" s="87" t="s">
        <v>20</v>
      </c>
      <c r="B41" s="88" t="s">
        <v>41</v>
      </c>
      <c r="C41" s="109"/>
      <c r="D41" s="89"/>
      <c r="E41" s="90"/>
      <c r="F41" s="90"/>
      <c r="G41" s="91"/>
    </row>
    <row r="42" spans="1:7" ht="18.5" x14ac:dyDescent="0.35">
      <c r="A42" s="92" t="s">
        <v>22</v>
      </c>
      <c r="B42" s="76" t="s">
        <v>42</v>
      </c>
      <c r="C42" s="102"/>
      <c r="D42" s="4"/>
      <c r="E42" s="84"/>
      <c r="F42" s="84"/>
      <c r="G42" s="93"/>
    </row>
    <row r="43" spans="1:7" ht="18.5" x14ac:dyDescent="0.35">
      <c r="A43" s="92" t="s">
        <v>24</v>
      </c>
      <c r="B43" s="86"/>
      <c r="C43" s="102"/>
      <c r="D43" s="4"/>
      <c r="E43" s="86">
        <v>60321745</v>
      </c>
      <c r="F43" s="84"/>
      <c r="G43" s="93"/>
    </row>
    <row r="44" spans="1:7" ht="18.5" x14ac:dyDescent="0.35">
      <c r="A44" s="92" t="s">
        <v>43</v>
      </c>
      <c r="B44" s="86" t="s">
        <v>44</v>
      </c>
      <c r="C44" s="102"/>
      <c r="D44" s="4"/>
      <c r="E44" s="84"/>
      <c r="F44" s="84"/>
      <c r="G44" s="93"/>
    </row>
    <row r="45" spans="1:7" ht="18.5" x14ac:dyDescent="0.35">
      <c r="A45" s="92" t="s">
        <v>46</v>
      </c>
      <c r="B45" s="76" t="s">
        <v>47</v>
      </c>
      <c r="C45" s="102"/>
      <c r="D45" s="4"/>
      <c r="E45" s="84"/>
      <c r="F45" s="84"/>
      <c r="G45" s="93"/>
    </row>
    <row r="46" spans="1:7" ht="18.5" x14ac:dyDescent="0.35">
      <c r="A46" s="92" t="s">
        <v>29</v>
      </c>
      <c r="B46" s="76" t="s">
        <v>45</v>
      </c>
      <c r="C46" s="102"/>
      <c r="D46" s="4"/>
      <c r="E46" s="84"/>
      <c r="F46" s="84"/>
      <c r="G46" s="93"/>
    </row>
    <row r="47" spans="1:7" ht="18.5" x14ac:dyDescent="0.35">
      <c r="A47" s="76" t="s">
        <v>48</v>
      </c>
      <c r="B47" s="76" t="s">
        <v>49</v>
      </c>
      <c r="C47" s="102"/>
      <c r="D47" s="4"/>
      <c r="E47" s="84"/>
      <c r="F47" s="84"/>
      <c r="G47" s="93"/>
    </row>
    <row r="48" spans="1:7" ht="18.5" x14ac:dyDescent="0.35">
      <c r="A48" s="76"/>
      <c r="B48" s="76" t="s">
        <v>50</v>
      </c>
      <c r="C48" s="102"/>
      <c r="D48" s="4"/>
      <c r="E48" s="84"/>
      <c r="F48" s="84"/>
      <c r="G48" s="93"/>
    </row>
    <row r="49" spans="1:7" ht="18.5" x14ac:dyDescent="0.35">
      <c r="A49" s="76"/>
      <c r="B49" s="76" t="s">
        <v>51</v>
      </c>
      <c r="C49" s="102"/>
      <c r="D49" s="4"/>
      <c r="E49" s="84"/>
      <c r="F49" s="84"/>
      <c r="G49" s="93"/>
    </row>
    <row r="50" spans="1:7" ht="18.5" x14ac:dyDescent="0.35">
      <c r="A50" s="76"/>
      <c r="B50" s="76" t="s">
        <v>52</v>
      </c>
      <c r="C50" s="102"/>
      <c r="D50" s="4"/>
      <c r="E50" s="84"/>
      <c r="F50" s="84"/>
      <c r="G50" s="93"/>
    </row>
    <row r="51" spans="1:7" ht="18.5" x14ac:dyDescent="0.35">
      <c r="A51" s="76"/>
      <c r="B51" s="76" t="s">
        <v>53</v>
      </c>
      <c r="C51" s="102"/>
      <c r="D51" s="4"/>
      <c r="E51" s="84"/>
      <c r="F51" s="84"/>
      <c r="G51" s="93"/>
    </row>
    <row r="52" spans="1:7" ht="18.5" hidden="1" x14ac:dyDescent="0.35">
      <c r="A52" s="76"/>
      <c r="B52" s="76"/>
      <c r="C52" s="102"/>
      <c r="D52" s="4"/>
      <c r="E52" s="84"/>
      <c r="F52" s="84"/>
      <c r="G52" s="93"/>
    </row>
    <row r="53" spans="1:7" ht="16" thickBot="1" x14ac:dyDescent="0.4">
      <c r="A53" s="94"/>
      <c r="B53" s="95"/>
      <c r="C53" s="110"/>
      <c r="D53" s="96"/>
      <c r="E53" s="97"/>
      <c r="F53" s="98"/>
      <c r="G53" s="99"/>
    </row>
    <row r="54" spans="1:7" x14ac:dyDescent="0.35">
      <c r="A54" s="34"/>
      <c r="B54" s="6"/>
      <c r="C54" s="6"/>
      <c r="F54" s="25"/>
    </row>
    <row r="55" spans="1:7" x14ac:dyDescent="0.35">
      <c r="A55" s="14"/>
      <c r="B55" s="15"/>
      <c r="C55" s="6"/>
      <c r="F55" s="25"/>
    </row>
    <row r="56" spans="1:7" x14ac:dyDescent="0.35">
      <c r="A56" s="14"/>
      <c r="B56" s="31"/>
      <c r="C56" s="31"/>
      <c r="F56" s="25"/>
    </row>
    <row r="57" spans="1:7" x14ac:dyDescent="0.35">
      <c r="A57" s="31"/>
      <c r="F57" s="25"/>
    </row>
    <row r="58" spans="1:7" ht="15.5" x14ac:dyDescent="0.35">
      <c r="F58" s="35"/>
    </row>
    <row r="59" spans="1:7" x14ac:dyDescent="0.35">
      <c r="F59" s="6"/>
    </row>
    <row r="60" spans="1:7" x14ac:dyDescent="0.35">
      <c r="B60" s="43"/>
      <c r="F60" s="31"/>
    </row>
    <row r="61" spans="1:7" x14ac:dyDescent="0.35">
      <c r="B61" s="44"/>
    </row>
    <row r="63" spans="1:7" x14ac:dyDescent="0.35">
      <c r="B63" s="45"/>
    </row>
  </sheetData>
  <mergeCells count="6">
    <mergeCell ref="E6:F6"/>
    <mergeCell ref="E7:F7"/>
    <mergeCell ref="E8:F8"/>
    <mergeCell ref="E9:F9"/>
    <mergeCell ref="A13:C13"/>
    <mergeCell ref="E13:G13"/>
  </mergeCells>
  <dataValidations count="1">
    <dataValidation type="list" allowBlank="1" showInputMessage="1" showErrorMessage="1" sqref="G5" xr:uid="{00000000-0002-0000-0600-000000000000}">
      <formula1>"INVOICE,RECEIPT"</formula1>
    </dataValidation>
  </dataValidations>
  <pageMargins left="0.7" right="0.7" top="0.75" bottom="0.75" header="0.3" footer="0.3"/>
  <pageSetup paperSize="9" scale="7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CC31-8841-40A1-B570-7CA9DBA41603}">
  <dimension ref="A1"/>
  <sheetViews>
    <sheetView topLeftCell="A22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CIMAS CT ADB &amp; P WITH</vt:lpstr>
      <vt:lpstr>CT CAP W USD TARRIFS</vt:lpstr>
      <vt:lpstr>ZiG TARRIFS</vt:lpstr>
      <vt:lpstr>ZiG</vt:lpstr>
      <vt:lpstr>USD NOSTRO</vt:lpstr>
      <vt:lpstr>invoice</vt:lpstr>
      <vt:lpstr>FNB ACCOUNT</vt:lpstr>
      <vt:lpstr>WOMANS IMAGING</vt:lpstr>
      <vt:lpstr>BARCLAYS</vt:lpstr>
      <vt:lpstr>Sheet1</vt:lpstr>
      <vt:lpstr>'CIMAS CT ADB &amp; P WITH'!Print_Area</vt:lpstr>
      <vt:lpstr>'CT CAP W USD TARRIFS'!Print_Area</vt:lpstr>
      <vt:lpstr>'USD NOSTRO'!Print_Area</vt:lpstr>
      <vt:lpstr>'ZiG TARRIFS'!Print_Area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travor jamela</cp:lastModifiedBy>
  <cp:lastPrinted>2025-12-05T06:34:41Z</cp:lastPrinted>
  <dcterms:created xsi:type="dcterms:W3CDTF">2016-03-01T11:01:28Z</dcterms:created>
  <dcterms:modified xsi:type="dcterms:W3CDTF">2025-12-24T17:56:00Z</dcterms:modified>
</cp:coreProperties>
</file>